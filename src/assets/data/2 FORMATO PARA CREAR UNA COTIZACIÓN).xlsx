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ocuments\MIGUEL ANGEL PORTATIL 2025\PC - - - COMERCIAL\FORMATOS\"/>
    </mc:Choice>
  </mc:AlternateContent>
  <xr:revisionPtr revIDLastSave="0" documentId="13_ncr:1_{925064C4-7A73-44B7-B8EA-D003EE7EF51D}" xr6:coauthVersionLast="47" xr6:coauthVersionMax="47" xr10:uidLastSave="{00000000-0000-0000-0000-000000000000}"/>
  <bookViews>
    <workbookView xWindow="-120" yWindow="-120" windowWidth="19440" windowHeight="10440" xr2:uid="{63FCD11F-5592-4783-9F6B-779113690C14}"/>
  </bookViews>
  <sheets>
    <sheet name="COT" sheetId="4" r:id="rId1"/>
    <sheet name="M O" sheetId="1" r:id="rId2"/>
    <sheet name="DESPIECE" sheetId="2" r:id="rId3"/>
  </sheets>
  <externalReferences>
    <externalReference r:id="rId4"/>
  </externalReferences>
  <definedNames>
    <definedName name="_xlnm._FilterDatabase" localSheetId="0" hidden="1">COT!$A$11:$Y$19</definedName>
    <definedName name="_xlnm.Print_Area" localSheetId="0">COT!$A$1:$D$47</definedName>
    <definedName name="CONTRATO" localSheetId="0">#REF!</definedName>
    <definedName name="CONTRATO">#REF!</definedName>
    <definedName name="g0" localSheetId="0">#REF!</definedName>
    <definedName name="g0">#REF!</definedName>
    <definedName name="matrizsap">'[1]base 2021'!$B$2:$E$761</definedName>
    <definedName name="matrizventas">'[1]base 2021'!$A$2:$E$761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4" l="1"/>
  <c r="D26" i="4" s="1"/>
  <c r="E14" i="4"/>
  <c r="C14" i="4"/>
  <c r="F14" i="4" l="1"/>
  <c r="F18" i="4" s="1"/>
  <c r="F28" i="4" s="1"/>
  <c r="D18" i="4" l="1"/>
  <c r="F29" i="4"/>
  <c r="D29" i="4" s="1"/>
  <c r="D28" i="4"/>
  <c r="F30" i="4" l="1"/>
  <c r="D30" i="4" s="1"/>
  <c r="K105" i="1"/>
  <c r="K102" i="1"/>
  <c r="I101" i="1"/>
  <c r="I91" i="1"/>
  <c r="I104" i="1" l="1"/>
  <c r="I103" i="1"/>
  <c r="I102" i="1"/>
  <c r="I105" i="1" l="1"/>
  <c r="I106" i="1" s="1"/>
  <c r="I107" i="1" s="1"/>
  <c r="I108" i="1" l="1"/>
  <c r="I109" i="1" s="1"/>
  <c r="K71" i="1" l="1"/>
  <c r="F34" i="1" l="1"/>
  <c r="G22" i="1"/>
  <c r="I43" i="1"/>
  <c r="I41" i="1"/>
  <c r="I39" i="1"/>
  <c r="I37" i="1"/>
  <c r="I35" i="1"/>
  <c r="I36" i="1" l="1"/>
  <c r="I38" i="1"/>
  <c r="I40" i="1"/>
  <c r="I42" i="1"/>
  <c r="I62" i="1"/>
  <c r="I61" i="1"/>
  <c r="I60" i="1"/>
  <c r="I59" i="1"/>
  <c r="I58" i="1"/>
  <c r="I57" i="1"/>
  <c r="I56" i="1"/>
  <c r="I55" i="1"/>
  <c r="I54" i="1"/>
  <c r="I53" i="1"/>
  <c r="I52" i="1"/>
  <c r="I51" i="1"/>
  <c r="I84" i="1"/>
  <c r="I83" i="1"/>
  <c r="I82" i="1"/>
  <c r="G99" i="1"/>
  <c r="G80" i="1" l="1"/>
  <c r="G88" i="1" s="1"/>
  <c r="I87" i="1"/>
  <c r="I86" i="1"/>
  <c r="I85" i="1"/>
  <c r="I81" i="1"/>
  <c r="E77" i="1"/>
  <c r="I77" i="1" s="1"/>
  <c r="E76" i="1"/>
  <c r="I76" i="1" s="1"/>
  <c r="E75" i="1"/>
  <c r="E74" i="1"/>
  <c r="I70" i="1"/>
  <c r="I69" i="1"/>
  <c r="I50" i="1"/>
  <c r="I49" i="1"/>
  <c r="I48" i="1"/>
  <c r="I47" i="1"/>
  <c r="G46" i="1"/>
  <c r="H34" i="1"/>
  <c r="G34" i="1"/>
  <c r="H18" i="1"/>
  <c r="I18" i="1" s="1"/>
  <c r="H17" i="1"/>
  <c r="I17" i="1" s="1"/>
  <c r="H12" i="1"/>
  <c r="C12" i="1"/>
  <c r="H11" i="1"/>
  <c r="I11" i="1" s="1"/>
  <c r="H10" i="1"/>
  <c r="I10" i="1" s="1"/>
  <c r="H9" i="1"/>
  <c r="I9" i="1" s="1"/>
  <c r="H8" i="1"/>
  <c r="I8" i="1" s="1"/>
  <c r="H7" i="1"/>
  <c r="C7" i="1"/>
  <c r="H6" i="1"/>
  <c r="C6" i="1"/>
  <c r="H5" i="1"/>
  <c r="C5" i="1"/>
  <c r="H4" i="1"/>
  <c r="C4" i="1"/>
  <c r="H3" i="1"/>
  <c r="C3" i="1"/>
  <c r="H22" i="1" s="1"/>
  <c r="I5" i="1" l="1"/>
  <c r="I7" i="1"/>
  <c r="I4" i="1"/>
  <c r="I6" i="1"/>
  <c r="I12" i="1"/>
  <c r="I3" i="1"/>
</calcChain>
</file>

<file path=xl/sharedStrings.xml><?xml version="1.0" encoding="utf-8"?>
<sst xmlns="http://schemas.openxmlformats.org/spreadsheetml/2006/main" count="174" uniqueCount="124">
  <si>
    <t>DESCRIPCION</t>
  </si>
  <si>
    <t>ITEM</t>
  </si>
  <si>
    <t>CANTIDAD</t>
  </si>
  <si>
    <t>VALOR TOTAL</t>
  </si>
  <si>
    <t>CORTES MELAMINAS Y FORMICA</t>
  </si>
  <si>
    <t>ASESORIA Y DISEÑO</t>
  </si>
  <si>
    <t>MANO DE OBRA ARMADO</t>
  </si>
  <si>
    <t>INSTALACIÓN CON 2 PERSONAS EN OBRA</t>
  </si>
  <si>
    <t>DESPIECE</t>
  </si>
  <si>
    <t>PRESUPUESTO</t>
  </si>
  <si>
    <t>MATERIAL - PROVEEDOR Y COLOR</t>
  </si>
  <si>
    <t>DESPERDICIO</t>
  </si>
  <si>
    <t>TOTAL</t>
  </si>
  <si>
    <t>UNIDAD DE MEDIDA</t>
  </si>
  <si>
    <t>DIMENSIÓN</t>
  </si>
  <si>
    <t>INSUMOS ( CANTOS )</t>
  </si>
  <si>
    <t>VALOR UNITARIO</t>
  </si>
  <si>
    <t>PRECIO LAMINA</t>
  </si>
  <si>
    <t>MEDIDA 1</t>
  </si>
  <si>
    <t>MEDIDA 2</t>
  </si>
  <si>
    <t>CANT M2</t>
  </si>
  <si>
    <t>VALOR M2</t>
  </si>
  <si>
    <t>MELAMINO RH 15 MM PRIMADERA</t>
  </si>
  <si>
    <t>MELAMINO RH 6 MM PRIMADERA</t>
  </si>
  <si>
    <t>MEL MDF RH 1 CARA 5.5mm 1.83Mt x 2.5Mt VERDE GLACIAR</t>
  </si>
  <si>
    <t>F8 Postform 1.22 x 2.44 BTE - MT Cotaje OAK PR - amaderado</t>
  </si>
  <si>
    <t>F8 Postform 1.22 x 2.44 BTE - MT Dark Steel 2315 MT</t>
  </si>
  <si>
    <t>F8 Postform 1.22 x 3.06 BTE - MT</t>
  </si>
  <si>
    <t>F6 Postform 1.22 x 3.06 BTE - MT BLANCO</t>
  </si>
  <si>
    <t>MDF DE 15 EN CRUDO MASISA</t>
  </si>
  <si>
    <t>CANTO RIGIDO DE 19 MM X 2</t>
  </si>
  <si>
    <t>CANTO FLEXIBLE DE 19 MM X 0,45</t>
  </si>
  <si>
    <t>CANTO FLX DE 33</t>
  </si>
  <si>
    <t>CANTO RIGIDO DE 33</t>
  </si>
  <si>
    <t>F8 Postform 1.22 x 3.06 BTE - MT SONW FLAKE</t>
  </si>
  <si>
    <t>F8 Postform 1.22 x 2.44 BLANCO</t>
  </si>
  <si>
    <t>MEL MDP RH 15mm 1.83Mt x 2.5Mt BLANCO FROSTY SOFT</t>
  </si>
  <si>
    <t>MEL MDF RH 1 CARA 15 mm 1.83Mt x 2.5Mt MASISA</t>
  </si>
  <si>
    <t>ADJUNTAR DESPIECE - INSUMOS ( TABLEROS - MELAMINAS  )</t>
  </si>
  <si>
    <t>MELAMINA RH DE 15 MM PRIMADERA VERDE SOL</t>
  </si>
  <si>
    <t>244 X 183</t>
  </si>
  <si>
    <t>ML</t>
  </si>
  <si>
    <t>DESCRIPCIÓN - PROVEEDOR Y COLOR</t>
  </si>
  <si>
    <t>DESCRIPCIÓN  Y COLOR</t>
  </si>
  <si>
    <t>CANTO RIGIDO DE 19 MM X 2 FLOR MORADO</t>
  </si>
  <si>
    <t>SOPORTE DE CANTIDAD DE CANTOS</t>
  </si>
  <si>
    <t>M O</t>
  </si>
  <si>
    <t>60 N</t>
  </si>
  <si>
    <t>TIEMPO</t>
  </si>
  <si>
    <t>TOTAL TIEMPO</t>
  </si>
  <si>
    <t>VALOR HORA</t>
  </si>
  <si>
    <t>BRAZO NEUMATICO</t>
  </si>
  <si>
    <t>CUADRO DE COSTO</t>
  </si>
  <si>
    <t>DISEÑO Y ASESORIA</t>
  </si>
  <si>
    <t>REUNIONES VARIAS</t>
  </si>
  <si>
    <t>ENCHAPE</t>
  </si>
  <si>
    <t>CORTE DE MELAMINAS = 1 HORA POR LAMINA</t>
  </si>
  <si>
    <t xml:space="preserve">DESCRIPCIÓN </t>
  </si>
  <si>
    <t>M2</t>
  </si>
  <si>
    <t>M.O CORTE FORMICA - CANTIDAD DE M2 POR LAMINA</t>
  </si>
  <si>
    <t>M.O REFILADO DE PIEZAS CON FORMICA  - CANTIDAD DE M2 POR LAMINA</t>
  </si>
  <si>
    <t>M.O PEGADO FORMICA EN SUPERFICIE  48 min x M2 (0,8)</t>
  </si>
  <si>
    <t>LAMINA</t>
  </si>
  <si>
    <t>MUEBLE ALTO</t>
  </si>
  <si>
    <t>MEDIDA</t>
  </si>
  <si>
    <t>H/ARMADO</t>
  </si>
  <si>
    <t>PERSONAS</t>
  </si>
  <si>
    <t>MUEBLE NEVERA</t>
  </si>
  <si>
    <t>MUEBLE BAJO</t>
  </si>
  <si>
    <t>MUEBLE BARRA</t>
  </si>
  <si>
    <t xml:space="preserve">ALISTAMIENTO Y LIMPIEZA ( ELEVAMOS UN POCO PARA LLEGAR A 3 DÍAS DE INSTALACIÓN) </t>
  </si>
  <si>
    <t>H/INSTALANDO</t>
  </si>
  <si>
    <t>DIAS ARMADO</t>
  </si>
  <si>
    <t>DIAS INSTALANDO</t>
  </si>
  <si>
    <t>1, INSUMOS ( TABLEROS - MELAMINAS - FORMICAS )</t>
  </si>
  <si>
    <t>2 ,INSUMOS ( CANTOS )</t>
  </si>
  <si>
    <t>3, MANOS DE OBRA DE ACCESORIOS - VIDRIOS ESPEJOS - HERRAJES Y OTROS</t>
  </si>
  <si>
    <t>4, TIEMPOS DE ASESORIA Y DISEÑO</t>
  </si>
  <si>
    <t>CARGUE Y DESCARGUE</t>
  </si>
  <si>
    <t>ALISTAMIENTO DE MATERIALES</t>
  </si>
  <si>
    <t>OTROS MUEBLES</t>
  </si>
  <si>
    <t>M O AUDITORIA - FERNANDO - NUEVO</t>
  </si>
  <si>
    <t>SI EL CLIENTE PAGO DISEÑO POR FAVOR COLOQUE EL VALOR COBRADO:</t>
  </si>
  <si>
    <t>MUEBLE ALTO ML</t>
  </si>
  <si>
    <t>MUEBLE NEVERA ML</t>
  </si>
  <si>
    <t>MUEBLE BAJO ML</t>
  </si>
  <si>
    <t>MUEBLE ALACENA ML</t>
  </si>
  <si>
    <t>MUEBLE BARRA ML</t>
  </si>
  <si>
    <t>MUEBLE ALACENA M2</t>
  </si>
  <si>
    <t>Señor:</t>
  </si>
  <si>
    <t>Ciudad</t>
  </si>
  <si>
    <t xml:space="preserve"> </t>
  </si>
  <si>
    <t>Ref: COTIZACION</t>
  </si>
  <si>
    <t>DESCRIPCIÓN</t>
  </si>
  <si>
    <t>MEDIDAS</t>
  </si>
  <si>
    <t>UNIDAD</t>
  </si>
  <si>
    <t>VALOR 1</t>
  </si>
  <si>
    <t>VALOR 2</t>
  </si>
  <si>
    <t>MUEBLE 1</t>
  </si>
  <si>
    <t>TOTAL MUEBLE</t>
  </si>
  <si>
    <t>TOTAL COTIZACION</t>
  </si>
  <si>
    <t xml:space="preserve">IMPORTANTE: La empresa cuenta con el sistema de gestion y seguridad de salud en el trabajo por tanto nuestros trabajadores estan afiliados a la seguridad social y estan amparados a ARL en caso de accidentes.
</t>
  </si>
  <si>
    <t>FORMA DE PAGO:</t>
  </si>
  <si>
    <r>
      <t xml:space="preserve">ABONO INICIAL DEL 60% </t>
    </r>
    <r>
      <rPr>
        <sz val="14"/>
        <color theme="1"/>
        <rFont val="Arial"/>
        <family val="2"/>
      </rPr>
      <t>en efectivo, transacción o cheque al concretar la obra y aprobación de diseños.</t>
    </r>
  </si>
  <si>
    <r>
      <t xml:space="preserve">ABONO INICIAL DEL 35% </t>
    </r>
    <r>
      <rPr>
        <sz val="14"/>
        <color theme="1"/>
        <rFont val="Arial"/>
        <family val="2"/>
      </rPr>
      <t>en efectivo, transacción o cheque al iniciar intalacion en obra</t>
    </r>
  </si>
  <si>
    <r>
      <t xml:space="preserve">PAGO SALDO: 5% </t>
    </r>
    <r>
      <rPr>
        <sz val="14"/>
        <color rgb="FF000000"/>
        <rFont val="Arial"/>
        <family val="2"/>
      </rPr>
      <t>restante en efectivo, a la entrega e instalación total de la obra a satisfacción.</t>
    </r>
  </si>
  <si>
    <t xml:space="preserve">VALIDEZ DE LA OFERTA: 3 DIAS HABILES </t>
  </si>
  <si>
    <t>Atentamente.</t>
  </si>
  <si>
    <t>Spazio Vitales sas</t>
  </si>
  <si>
    <t>TOTAL COSTO</t>
  </si>
  <si>
    <t xml:space="preserve">IMPREVISTOS </t>
  </si>
  <si>
    <t>INDIRECTOS</t>
  </si>
  <si>
    <t xml:space="preserve">UTILIDAD </t>
  </si>
  <si>
    <t>total con iva</t>
  </si>
  <si>
    <t>DESCUENTOS</t>
  </si>
  <si>
    <t>TOTAL FINAL</t>
  </si>
  <si>
    <t xml:space="preserve">VENTA, ELABORACION E INSTALACIÓN DE MUEBLES  </t>
  </si>
  <si>
    <t>MUEBLE 2</t>
  </si>
  <si>
    <t>MUEBLE 3</t>
  </si>
  <si>
    <t>MUEBLE 4</t>
  </si>
  <si>
    <t>CLIENTE</t>
  </si>
  <si>
    <r>
      <t xml:space="preserve">San Juan de Pasto, </t>
    </r>
    <r>
      <rPr>
        <sz val="14"/>
        <color rgb="FFFF0000"/>
        <rFont val="Arial"/>
        <family val="2"/>
      </rPr>
      <t>Fecha</t>
    </r>
  </si>
  <si>
    <t>No. De cotización</t>
  </si>
  <si>
    <t>Descripción general del mueble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</si>
</sst>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240A]#,##0"/>
    <numFmt numFmtId="165" formatCode="[$$-240A]#,##0.00"/>
    <numFmt numFmtId="166" formatCode="[$$-240A]\ #,##0;\-[$$-240A]\ #,##0"/>
    <numFmt numFmtId="167" formatCode="_-&quot;$&quot;* #,##0_-;\-&quot;$&quot;* #,##0_-;_-&quot;$&quot;* &quot;-&quot;??_-;_-@"/>
    <numFmt numFmtId="168" formatCode="_(&quot;$&quot;\ * #,##0_);_(&quot;$&quot;\ * \(#,##0\);_(&quot;$&quot;\ * &quot;-&quot;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002060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0"/>
      <name val="Arial"/>
      <family val="2"/>
    </font>
    <font>
      <u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rgb="FF000000"/>
      <name val="Arial"/>
      <family val="2"/>
    </font>
    <font>
      <sz val="14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u/>
      <sz val="16"/>
      <color rgb="FFFF0000"/>
      <name val="Arial"/>
      <family val="2"/>
    </font>
    <font>
      <u/>
      <sz val="16"/>
      <color theme="1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rgb="FFFFFF00"/>
        <bgColor theme="8"/>
      </patternFill>
    </fill>
    <fill>
      <patternFill patternType="solid">
        <fgColor rgb="FFFFC000"/>
        <bgColor theme="8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0" fontId="1" fillId="0" borderId="0"/>
  </cellStyleXfs>
  <cellXfs count="149">
    <xf numFmtId="0" fontId="0" fillId="0" borderId="0" xfId="0"/>
    <xf numFmtId="0" fontId="0" fillId="4" borderId="3" xfId="0" applyFill="1" applyBorder="1" applyAlignment="1">
      <alignment vertical="center"/>
    </xf>
    <xf numFmtId="0" fontId="0" fillId="4" borderId="0" xfId="0" applyFill="1"/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6" fillId="5" borderId="7" xfId="0" applyFont="1" applyFill="1" applyBorder="1"/>
    <xf numFmtId="164" fontId="6" fillId="5" borderId="7" xfId="0" applyNumberFormat="1" applyFont="1" applyFill="1" applyBorder="1"/>
    <xf numFmtId="0" fontId="5" fillId="6" borderId="7" xfId="0" applyFont="1" applyFill="1" applyBorder="1"/>
    <xf numFmtId="0" fontId="5" fillId="6" borderId="7" xfId="0" applyFont="1" applyFill="1" applyBorder="1" applyAlignment="1">
      <alignment horizontal="center"/>
    </xf>
    <xf numFmtId="165" fontId="6" fillId="5" borderId="7" xfId="0" applyNumberFormat="1" applyFont="1" applyFill="1" applyBorder="1"/>
    <xf numFmtId="0" fontId="0" fillId="3" borderId="3" xfId="0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5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/>
    <xf numFmtId="0" fontId="6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center"/>
    </xf>
    <xf numFmtId="0" fontId="9" fillId="4" borderId="3" xfId="0" applyFont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0" fillId="8" borderId="0" xfId="2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4" borderId="0" xfId="0" applyFont="1" applyFill="1"/>
    <xf numFmtId="0" fontId="5" fillId="6" borderId="18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5" fillId="6" borderId="17" xfId="0" applyFont="1" applyFill="1" applyBorder="1"/>
    <xf numFmtId="0" fontId="6" fillId="5" borderId="17" xfId="0" applyFont="1" applyFill="1" applyBorder="1"/>
    <xf numFmtId="0" fontId="6" fillId="0" borderId="3" xfId="0" applyFont="1" applyBorder="1"/>
    <xf numFmtId="0" fontId="5" fillId="6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0" borderId="0" xfId="0" applyFont="1" applyBorder="1"/>
    <xf numFmtId="0" fontId="6" fillId="0" borderId="16" xfId="0" applyFont="1" applyBorder="1"/>
    <xf numFmtId="0" fontId="12" fillId="4" borderId="3" xfId="0" applyFont="1" applyFill="1" applyBorder="1" applyAlignment="1">
      <alignment horizontal="center"/>
    </xf>
    <xf numFmtId="0" fontId="13" fillId="3" borderId="3" xfId="0" applyFont="1" applyFill="1" applyBorder="1"/>
    <xf numFmtId="0" fontId="14" fillId="9" borderId="3" xfId="2" applyFont="1" applyFill="1" applyBorder="1" applyAlignment="1">
      <alignment horizontal="center" vertical="center"/>
    </xf>
    <xf numFmtId="0" fontId="10" fillId="9" borderId="3" xfId="2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5" fillId="9" borderId="3" xfId="2" applyFont="1" applyFill="1" applyBorder="1" applyAlignment="1">
      <alignment horizontal="center" vertical="center"/>
    </xf>
    <xf numFmtId="0" fontId="8" fillId="9" borderId="3" xfId="0" applyFont="1" applyFill="1" applyBorder="1"/>
    <xf numFmtId="0" fontId="16" fillId="9" borderId="3" xfId="2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164" fontId="6" fillId="10" borderId="3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wrapText="1"/>
    </xf>
    <xf numFmtId="0" fontId="19" fillId="0" borderId="0" xfId="0" applyFont="1"/>
    <xf numFmtId="14" fontId="17" fillId="11" borderId="0" xfId="0" applyNumberFormat="1" applyFont="1" applyFill="1" applyAlignment="1">
      <alignment horizontal="left" wrapText="1"/>
    </xf>
    <xf numFmtId="0" fontId="21" fillId="11" borderId="0" xfId="0" applyFont="1" applyFill="1" applyAlignment="1">
      <alignment horizontal="left" wrapText="1"/>
    </xf>
    <xf numFmtId="0" fontId="21" fillId="11" borderId="0" xfId="0" applyFont="1" applyFill="1" applyAlignment="1">
      <alignment wrapText="1"/>
    </xf>
    <xf numFmtId="0" fontId="22" fillId="11" borderId="0" xfId="0" applyFont="1" applyFill="1" applyAlignment="1">
      <alignment horizontal="right" wrapText="1"/>
    </xf>
    <xf numFmtId="0" fontId="18" fillId="12" borderId="3" xfId="0" applyFont="1" applyFill="1" applyBorder="1" applyAlignment="1">
      <alignment horizontal="right" wrapText="1"/>
    </xf>
    <xf numFmtId="166" fontId="22" fillId="14" borderId="3" xfId="0" applyNumberFormat="1" applyFont="1" applyFill="1" applyBorder="1" applyAlignment="1">
      <alignment horizontal="right" vertical="center" wrapText="1"/>
    </xf>
    <xf numFmtId="166" fontId="18" fillId="14" borderId="3" xfId="0" applyNumberFormat="1" applyFont="1" applyFill="1" applyBorder="1" applyAlignment="1">
      <alignment horizontal="righ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 vertical="center" wrapText="1"/>
    </xf>
    <xf numFmtId="2" fontId="17" fillId="4" borderId="3" xfId="0" applyNumberFormat="1" applyFont="1" applyFill="1" applyBorder="1" applyAlignment="1">
      <alignment horizontal="center" vertical="center" wrapText="1"/>
    </xf>
    <xf numFmtId="166" fontId="18" fillId="4" borderId="3" xfId="0" applyNumberFormat="1" applyFont="1" applyFill="1" applyBorder="1" applyAlignment="1">
      <alignment horizontal="right" vertical="center" wrapText="1"/>
    </xf>
    <xf numFmtId="166" fontId="23" fillId="15" borderId="0" xfId="0" applyNumberFormat="1" applyFont="1" applyFill="1" applyAlignment="1">
      <alignment horizontal="right" wrapText="1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2" fontId="17" fillId="0" borderId="3" xfId="0" applyNumberFormat="1" applyFont="1" applyBorder="1" applyAlignment="1">
      <alignment horizontal="center" vertical="center" wrapText="1"/>
    </xf>
    <xf numFmtId="166" fontId="22" fillId="0" borderId="3" xfId="0" applyNumberFormat="1" applyFont="1" applyBorder="1" applyAlignment="1">
      <alignment horizontal="right" vertical="center" wrapText="1"/>
    </xf>
    <xf numFmtId="166" fontId="18" fillId="0" borderId="3" xfId="0" applyNumberFormat="1" applyFont="1" applyBorder="1" applyAlignment="1">
      <alignment horizontal="right" vertical="center" wrapText="1"/>
    </xf>
    <xf numFmtId="167" fontId="22" fillId="16" borderId="3" xfId="0" applyNumberFormat="1" applyFont="1" applyFill="1" applyBorder="1" applyAlignment="1">
      <alignment horizontal="left" vertical="center" wrapText="1"/>
    </xf>
    <xf numFmtId="167" fontId="18" fillId="16" borderId="3" xfId="0" applyNumberFormat="1" applyFont="1" applyFill="1" applyBorder="1" applyAlignment="1">
      <alignment horizontal="right" vertical="center" wrapText="1"/>
    </xf>
    <xf numFmtId="0" fontId="17" fillId="11" borderId="0" xfId="0" applyFont="1" applyFill="1" applyAlignment="1">
      <alignment vertical="center"/>
    </xf>
    <xf numFmtId="0" fontId="17" fillId="11" borderId="0" xfId="0" applyFont="1" applyFill="1"/>
    <xf numFmtId="167" fontId="22" fillId="17" borderId="3" xfId="0" applyNumberFormat="1" applyFont="1" applyFill="1" applyBorder="1" applyAlignment="1">
      <alignment horizontal="left" vertical="center" wrapText="1"/>
    </xf>
    <xf numFmtId="167" fontId="18" fillId="17" borderId="3" xfId="0" applyNumberFormat="1" applyFont="1" applyFill="1" applyBorder="1" applyAlignment="1">
      <alignment horizontal="right" vertical="center" wrapText="1"/>
    </xf>
    <xf numFmtId="0" fontId="21" fillId="11" borderId="0" xfId="0" applyFont="1" applyFill="1" applyAlignment="1">
      <alignment horizontal="center" vertical="center" wrapText="1"/>
    </xf>
    <xf numFmtId="9" fontId="21" fillId="11" borderId="0" xfId="0" applyNumberFormat="1" applyFont="1" applyFill="1" applyAlignment="1">
      <alignment horizontal="center" vertical="center" wrapText="1"/>
    </xf>
    <xf numFmtId="167" fontId="21" fillId="11" borderId="0" xfId="0" applyNumberFormat="1" applyFont="1" applyFill="1" applyAlignment="1">
      <alignment horizontal="left" vertical="center" wrapText="1"/>
    </xf>
    <xf numFmtId="0" fontId="18" fillId="11" borderId="0" xfId="0" applyFont="1" applyFill="1" applyAlignment="1">
      <alignment horizontal="right" vertical="center" wrapText="1"/>
    </xf>
    <xf numFmtId="167" fontId="22" fillId="11" borderId="0" xfId="0" applyNumberFormat="1" applyFont="1" applyFill="1" applyAlignment="1">
      <alignment horizontal="right" vertical="center" wrapText="1"/>
    </xf>
    <xf numFmtId="0" fontId="22" fillId="11" borderId="0" xfId="0" applyFont="1" applyFill="1" applyAlignment="1">
      <alignment horizontal="right" vertical="center" wrapText="1"/>
    </xf>
    <xf numFmtId="0" fontId="21" fillId="11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left" vertical="center"/>
    </xf>
    <xf numFmtId="0" fontId="17" fillId="11" borderId="0" xfId="0" applyFont="1" applyFill="1" applyAlignment="1">
      <alignment vertical="center" wrapText="1"/>
    </xf>
    <xf numFmtId="0" fontId="17" fillId="11" borderId="0" xfId="0" applyFont="1" applyFill="1" applyAlignment="1">
      <alignment horizontal="left"/>
    </xf>
    <xf numFmtId="0" fontId="18" fillId="11" borderId="0" xfId="0" applyFont="1" applyFill="1" applyAlignment="1">
      <alignment horizontal="right"/>
    </xf>
    <xf numFmtId="167" fontId="18" fillId="11" borderId="0" xfId="0" applyNumberFormat="1" applyFont="1" applyFill="1" applyAlignment="1">
      <alignment horizontal="right"/>
    </xf>
    <xf numFmtId="0" fontId="21" fillId="11" borderId="20" xfId="0" applyFont="1" applyFill="1" applyBorder="1"/>
    <xf numFmtId="0" fontId="21" fillId="11" borderId="0" xfId="0" applyFont="1" applyFill="1"/>
    <xf numFmtId="168" fontId="22" fillId="11" borderId="0" xfId="0" applyNumberFormat="1" applyFont="1" applyFill="1" applyAlignment="1">
      <alignment horizontal="right"/>
    </xf>
    <xf numFmtId="0" fontId="25" fillId="0" borderId="0" xfId="0" applyFont="1"/>
    <xf numFmtId="0" fontId="26" fillId="11" borderId="7" xfId="3" applyFont="1" applyFill="1" applyBorder="1"/>
    <xf numFmtId="165" fontId="26" fillId="11" borderId="7" xfId="3" applyNumberFormat="1" applyFont="1" applyFill="1" applyBorder="1"/>
    <xf numFmtId="0" fontId="27" fillId="11" borderId="7" xfId="3" applyFont="1" applyFill="1" applyBorder="1"/>
    <xf numFmtId="9" fontId="27" fillId="11" borderId="7" xfId="3" applyNumberFormat="1" applyFont="1" applyFill="1" applyBorder="1"/>
    <xf numFmtId="165" fontId="27" fillId="11" borderId="7" xfId="3" applyNumberFormat="1" applyFont="1" applyFill="1" applyBorder="1"/>
    <xf numFmtId="9" fontId="28" fillId="11" borderId="7" xfId="3" applyNumberFormat="1" applyFont="1" applyFill="1" applyBorder="1"/>
    <xf numFmtId="0" fontId="29" fillId="11" borderId="7" xfId="3" applyFont="1" applyFill="1" applyBorder="1"/>
    <xf numFmtId="165" fontId="29" fillId="11" borderId="7" xfId="3" applyNumberFormat="1" applyFont="1" applyFill="1" applyBorder="1"/>
    <xf numFmtId="9" fontId="30" fillId="11" borderId="7" xfId="3" applyNumberFormat="1" applyFont="1" applyFill="1" applyBorder="1" applyAlignment="1">
      <alignment horizontal="right"/>
    </xf>
    <xf numFmtId="165" fontId="30" fillId="11" borderId="7" xfId="3" applyNumberFormat="1" applyFont="1" applyFill="1" applyBorder="1"/>
    <xf numFmtId="0" fontId="30" fillId="11" borderId="7" xfId="3" applyFont="1" applyFill="1" applyBorder="1" applyAlignment="1">
      <alignment horizontal="right"/>
    </xf>
    <xf numFmtId="0" fontId="23" fillId="14" borderId="5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left" wrapText="1"/>
    </xf>
    <xf numFmtId="0" fontId="18" fillId="11" borderId="0" xfId="0" applyFont="1" applyFill="1" applyAlignment="1">
      <alignment horizontal="right" wrapText="1"/>
    </xf>
    <xf numFmtId="0" fontId="32" fillId="11" borderId="0" xfId="0" applyFont="1" applyFill="1" applyAlignment="1">
      <alignment horizontal="left" wrapText="1"/>
    </xf>
    <xf numFmtId="0" fontId="32" fillId="11" borderId="0" xfId="0" applyFont="1" applyFill="1" applyAlignment="1">
      <alignment horizontal="right" wrapText="1"/>
    </xf>
    <xf numFmtId="0" fontId="31" fillId="4" borderId="3" xfId="0" applyFont="1" applyFill="1" applyBorder="1" applyAlignment="1">
      <alignment horizontal="left" vertical="center" wrapText="1"/>
    </xf>
    <xf numFmtId="0" fontId="31" fillId="4" borderId="3" xfId="0" applyFont="1" applyFill="1" applyBorder="1" applyAlignment="1">
      <alignment horizontal="center"/>
    </xf>
    <xf numFmtId="0" fontId="31" fillId="4" borderId="3" xfId="0" applyFont="1" applyFill="1" applyBorder="1" applyAlignment="1">
      <alignment horizontal="center" vertical="center" wrapText="1"/>
    </xf>
    <xf numFmtId="2" fontId="31" fillId="4" borderId="3" xfId="0" applyNumberFormat="1" applyFont="1" applyFill="1" applyBorder="1" applyAlignment="1">
      <alignment horizontal="center" vertical="center" wrapText="1"/>
    </xf>
    <xf numFmtId="166" fontId="31" fillId="4" borderId="3" xfId="0" applyNumberFormat="1" applyFont="1" applyFill="1" applyBorder="1" applyAlignment="1">
      <alignment horizontal="right" vertical="center" wrapText="1"/>
    </xf>
    <xf numFmtId="0" fontId="23" fillId="14" borderId="5" xfId="0" applyFont="1" applyFill="1" applyBorder="1" applyAlignment="1">
      <alignment horizontal="center" vertical="center" wrapText="1"/>
    </xf>
    <xf numFmtId="0" fontId="23" fillId="14" borderId="19" xfId="0" applyFont="1" applyFill="1" applyBorder="1" applyAlignment="1">
      <alignment horizontal="center" vertical="center" wrapText="1"/>
    </xf>
    <xf numFmtId="0" fontId="23" fillId="14" borderId="6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left" wrapText="1"/>
    </xf>
    <xf numFmtId="0" fontId="20" fillId="0" borderId="0" xfId="0" applyFont="1"/>
    <xf numFmtId="0" fontId="18" fillId="11" borderId="0" xfId="0" applyFont="1" applyFill="1" applyAlignment="1">
      <alignment horizontal="right" wrapText="1"/>
    </xf>
    <xf numFmtId="0" fontId="21" fillId="12" borderId="3" xfId="0" applyFont="1" applyFill="1" applyBorder="1" applyAlignment="1">
      <alignment horizontal="center" vertical="center" wrapText="1"/>
    </xf>
    <xf numFmtId="0" fontId="20" fillId="13" borderId="3" xfId="0" applyFont="1" applyFill="1" applyBorder="1"/>
    <xf numFmtId="0" fontId="23" fillId="15" borderId="5" xfId="0" applyFont="1" applyFill="1" applyBorder="1" applyAlignment="1">
      <alignment horizontal="center" wrapText="1"/>
    </xf>
    <xf numFmtId="0" fontId="23" fillId="15" borderId="19" xfId="0" applyFont="1" applyFill="1" applyBorder="1" applyAlignment="1">
      <alignment horizontal="center" wrapText="1"/>
    </xf>
    <xf numFmtId="0" fontId="20" fillId="8" borderId="3" xfId="0" applyFont="1" applyFill="1" applyBorder="1"/>
    <xf numFmtId="0" fontId="20" fillId="10" borderId="3" xfId="0" applyFont="1" applyFill="1" applyBorder="1"/>
    <xf numFmtId="0" fontId="21" fillId="11" borderId="0" xfId="0" applyFont="1" applyFill="1" applyAlignment="1">
      <alignment horizontal="left" vertical="top" wrapText="1"/>
    </xf>
    <xf numFmtId="0" fontId="6" fillId="10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4">
    <cellStyle name="Hipervínculo" xfId="2" builtinId="8"/>
    <cellStyle name="Normal" xfId="0" builtinId="0"/>
    <cellStyle name="Normal 2" xfId="3" xr:uid="{8A1631F5-8E6E-4F75-825F-F4A9C9BBA1E3}"/>
    <cellStyle name="Normal 3" xfId="1" xr:uid="{38B743EA-C736-4E1D-918C-10E515E16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53F794F-9290-453C-9A42-BCE8EE57B2C7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55</xdr:row>
      <xdr:rowOff>0</xdr:rowOff>
    </xdr:from>
    <xdr:ext cx="314325" cy="314325"/>
    <xdr:sp macro="" textlink="">
      <xdr:nvSpPr>
        <xdr:cNvPr id="3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2B2BE35-375C-4D76-ACEB-03CF476F0496}"/>
            </a:ext>
          </a:extLst>
        </xdr:cNvPr>
        <xdr:cNvSpPr/>
      </xdr:nvSpPr>
      <xdr:spPr>
        <a:xfrm>
          <a:off x="0" y="161925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14325" cy="314325"/>
    <xdr:sp macro="" textlink="">
      <xdr:nvSpPr>
        <xdr:cNvPr id="4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764F778-5DB1-4F32-BAEE-61E2A3552492}"/>
            </a:ext>
          </a:extLst>
        </xdr:cNvPr>
        <xdr:cNvSpPr/>
      </xdr:nvSpPr>
      <xdr:spPr>
        <a:xfrm>
          <a:off x="0" y="95250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14325" cy="314325"/>
    <xdr:sp macro="" textlink="">
      <xdr:nvSpPr>
        <xdr:cNvPr id="5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2B3AEC2-BDA9-42BC-9F64-1BB2F27F539A}"/>
            </a:ext>
          </a:extLst>
        </xdr:cNvPr>
        <xdr:cNvSpPr/>
      </xdr:nvSpPr>
      <xdr:spPr>
        <a:xfrm>
          <a:off x="0" y="95250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14325"/>
    <xdr:sp macro="" textlink="">
      <xdr:nvSpPr>
        <xdr:cNvPr id="6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8480E62-BA4C-415A-BEA4-E4AC0CF6AF3B}"/>
            </a:ext>
          </a:extLst>
        </xdr:cNvPr>
        <xdr:cNvSpPr/>
      </xdr:nvSpPr>
      <xdr:spPr>
        <a:xfrm>
          <a:off x="0" y="95250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14325" cy="314325"/>
    <xdr:sp macro="" textlink="">
      <xdr:nvSpPr>
        <xdr:cNvPr id="7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B9D3063-77F0-48FB-AA9F-91EE0C5F4B05}"/>
            </a:ext>
          </a:extLst>
        </xdr:cNvPr>
        <xdr:cNvSpPr/>
      </xdr:nvSpPr>
      <xdr:spPr>
        <a:xfrm>
          <a:off x="0" y="95250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55A11EC-4BDD-4296-A11A-23EE7160D315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66E8AF2-B0E2-4BBC-BB3F-3F594EBEFA71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BA81C754-7A95-4BCC-B81C-7E525199B70A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2C84DC6-CF2E-46E4-9409-17933B623582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B335AA4-4F44-49FB-9F56-91B47D41A802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61A5CD9-9F53-48EF-9AA6-0B8FBEE825D2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7A22E3B-63B9-4DF6-AB9E-D541BC38C41F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14325" cy="314325"/>
    <xdr:sp macro="" textlink="">
      <xdr:nvSpPr>
        <xdr:cNvPr id="15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F787CBB-B838-440E-9F04-A45DCF7ECDCC}"/>
            </a:ext>
          </a:extLst>
        </xdr:cNvPr>
        <xdr:cNvSpPr/>
      </xdr:nvSpPr>
      <xdr:spPr>
        <a:xfrm>
          <a:off x="0" y="95250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F195C5A-8060-45A8-AB2A-0B7E2B8373CD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778EB98-03A6-40DA-BA22-97D9AD1A801C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1411565-4C33-431D-AE4C-CE4B5A92C53E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392FFC4-B9F5-4BB4-839C-9F6023E7243E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9F2D8C3-D97D-40F5-A6B7-4111DD95638F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B658E9E-FD85-4331-A673-C26B750CF95C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A6AD6BA-83B5-4FF9-B57F-3715FAAE904C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F440A32-EA5B-4213-B455-4AE71787C515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61069F5-8E0F-4116-82B0-A988376DADE0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8CDA537-7FA2-4F53-A462-A913948A4BB2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E610A93B-DC41-42CF-B038-54D0FD76BB24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AFD5021-579B-4C0C-A6B7-C717C106781F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8AE533B-5767-41E3-BBC3-1D9AE81C1356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2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EDF777E-446B-463F-AC7A-76D88B5A0A03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1CF4CD5-63F2-41CC-B077-895CA94243EA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6D869B3-64D9-46A1-AD86-FED14C8842CF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686FAD7D-A019-4A70-8DD8-03134AE0DB74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E4AD75F-C7BE-4D98-B46E-D6128FF8B06D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863CCD7-6B45-4DE9-8398-9A9559E4FD01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D35BBDC-143C-45B4-B4C6-F242E8C44A22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CAF0141-9FBB-40B1-B1BD-5A47246AC111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DC382DB-80A6-44A7-B25C-6675B7AC286D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CEBC139-84F4-4230-AB2F-A019EA8885BD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3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E0358B7-6EDC-4A1A-8D3D-0989A8175775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314325"/>
    <xdr:sp macro="" textlink="">
      <xdr:nvSpPr>
        <xdr:cNvPr id="40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01E6FE3-CEFB-4A60-8CF4-DA0DEE9E6386}"/>
            </a:ext>
          </a:extLst>
        </xdr:cNvPr>
        <xdr:cNvSpPr/>
      </xdr:nvSpPr>
      <xdr:spPr>
        <a:xfrm>
          <a:off x="0" y="97631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2BCA6A1-7795-4AC2-BC10-CAEA1B55B5F8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7153B4F-8D42-48A5-8588-9E19F91070DC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455C0F9-FD8D-41A9-8C3A-9081B4059741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8934654-A17A-49D2-AE85-E7607B9184C2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314325"/>
    <xdr:sp macro="" textlink="">
      <xdr:nvSpPr>
        <xdr:cNvPr id="45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C919869-6087-478B-8165-9E2B59E17FD4}"/>
            </a:ext>
          </a:extLst>
        </xdr:cNvPr>
        <xdr:cNvSpPr/>
      </xdr:nvSpPr>
      <xdr:spPr>
        <a:xfrm>
          <a:off x="0" y="97631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8B58563-3E8C-4857-A6AC-6C41D4E84958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E871CFE9-16FC-42AD-9AD9-8613A892E81B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19BF4ED-C0D1-4724-B628-70CF272DCBC6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4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530BD98-6FDC-4974-813F-E75D4EE37725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DEA7104-CEE8-417D-9C25-AE9D7BB33AD8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457C149-9714-49E2-B468-ADB8E82E7812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267F385-A6B9-4405-AFD8-809E821FC495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E8194C0-C634-4B40-A58E-87FB2F257C9D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0606CA3-01D5-41D9-A74C-09E387844BF2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336432E-C076-48F9-9A25-75805C40A3F0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4F83854-0CAE-4F07-96D9-A8CFDA83AFCE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5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57727E5-3B20-4937-9C02-7CFCE97F59F0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5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C2C5E96-26E4-4A63-AF5F-195A970758B7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5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6DDCCFE-E43F-4B83-BE0C-74C8DFA75F33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6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F8984A1-6D6F-44E2-9E53-0173E094F165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6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EBA5026F-2E0E-4320-8020-3A1C95BEBF2C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6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DC7817D-3550-4FC9-811D-597F2938DB11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6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8495359-58A6-49D2-98D5-E1A67879B55B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6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E03B389-1158-49F6-8281-D2DFCECB30BC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6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472F988-4CF3-4013-9E83-1304D634A1F3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6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B949F01-3F99-4284-9232-ED2142A90778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6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5BF8D06-B4F1-4EE1-AAB0-071E68E85E46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6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7715245-C88E-4EAE-A4C6-2EE4334416CF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6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53652DB-FEEE-431F-95B6-057E1E10D9FE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7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2B50F3F-EF1E-47E8-A10D-75079575BC11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7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599E636-97EE-4618-8832-2040BF9E7E3A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7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C3E55F4-A519-46B2-AF83-0BF4CC12ABC0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7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F2B5207-A258-42F7-A23B-87D52F60D864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</xdr:row>
      <xdr:rowOff>0</xdr:rowOff>
    </xdr:from>
    <xdr:ext cx="304800" cy="304800"/>
    <xdr:sp macro="" textlink="">
      <xdr:nvSpPr>
        <xdr:cNvPr id="7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3E05E6A-1C87-45F5-961C-CBDC0B06B912}"/>
            </a:ext>
          </a:extLst>
        </xdr:cNvPr>
        <xdr:cNvSpPr/>
      </xdr:nvSpPr>
      <xdr:spPr>
        <a:xfrm>
          <a:off x="0" y="92868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7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BAEE6F3-3808-484E-AC04-F471EE76DEEC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314325"/>
    <xdr:sp macro="" textlink="">
      <xdr:nvSpPr>
        <xdr:cNvPr id="76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A53F6BB-07A8-4EA0-A495-7DAC59156418}"/>
            </a:ext>
          </a:extLst>
        </xdr:cNvPr>
        <xdr:cNvSpPr/>
      </xdr:nvSpPr>
      <xdr:spPr>
        <a:xfrm>
          <a:off x="0" y="97631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314325"/>
    <xdr:sp macro="" textlink="">
      <xdr:nvSpPr>
        <xdr:cNvPr id="77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D60AFA8-CC4B-4FAB-AF3F-FCB6D28B00D8}"/>
            </a:ext>
          </a:extLst>
        </xdr:cNvPr>
        <xdr:cNvSpPr/>
      </xdr:nvSpPr>
      <xdr:spPr>
        <a:xfrm>
          <a:off x="0" y="97631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14325"/>
    <xdr:sp macro="" textlink="">
      <xdr:nvSpPr>
        <xdr:cNvPr id="78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C65F7C8-278E-408C-B486-A1951B840B4A}"/>
            </a:ext>
          </a:extLst>
        </xdr:cNvPr>
        <xdr:cNvSpPr/>
      </xdr:nvSpPr>
      <xdr:spPr>
        <a:xfrm>
          <a:off x="0" y="97631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314325"/>
    <xdr:sp macro="" textlink="">
      <xdr:nvSpPr>
        <xdr:cNvPr id="79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65031A6C-48A0-40C7-BAB8-741C9EA32998}"/>
            </a:ext>
          </a:extLst>
        </xdr:cNvPr>
        <xdr:cNvSpPr/>
      </xdr:nvSpPr>
      <xdr:spPr>
        <a:xfrm>
          <a:off x="0" y="97631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434D9D2-02F0-4B29-B8B8-09434604E89E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C90C4A8-4A21-4455-8185-49DBFC6BDAE9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6DDF786F-B449-4897-9AE0-B3D3E603FB0F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47F5FF2-ED9C-4C48-9D0A-6834B4AD7DEC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0B997F8-EDDD-4E91-96E6-9BE9AD3B8DA1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7F5E41E-F422-4FDD-AAC1-49D4E4F9AD97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93E6DC5-2489-4A83-A0E9-38F8A2F8D8D8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14325" cy="314325"/>
    <xdr:sp macro="" textlink="">
      <xdr:nvSpPr>
        <xdr:cNvPr id="87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13218CD-01E5-4410-857A-2BE95C456CE2}"/>
            </a:ext>
          </a:extLst>
        </xdr:cNvPr>
        <xdr:cNvSpPr/>
      </xdr:nvSpPr>
      <xdr:spPr>
        <a:xfrm>
          <a:off x="0" y="97631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C8E1D45-0096-4AFA-826E-0835CB97BFE6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8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987D0E5-9332-4ED8-9C61-21A947DF13E1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F0A7273-AD57-4FBD-9A39-A617979B8D88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E6EC2FCB-9B52-4D34-A52E-AF3F616CED35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6A835F9F-A8E2-4C70-841C-3F2194F9D014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EA50BBA-4E40-4142-B38B-D9FE40241C41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3C6CDA6-B4B5-4345-B801-13EA650A4512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A202452-D9B9-480F-BF25-52755A283B21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1D16823-C3D8-4162-A1EC-9194A808CC38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2000D63-2BC7-4D6C-B5FE-7DDB739307DC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7D17FFD-D14A-4F38-AD23-9B821A06FD4A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9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2716BED-6B21-4906-9C74-71331979AE49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55DDED3-2888-4013-A0F5-87C100294173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9459C55-C298-49F0-AF27-D02E9AB5362C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0A578ED-B891-434E-8E57-043ADC14E0D7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7227A62-07CA-4DAA-8D2F-082D8734FC64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4D3F52D-BE32-4E91-A877-85231A4D684B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C89F5B4-92EB-416B-85E9-F0B4FFC510CD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226AC97-B3C4-4CA0-81E9-B0D852405BE9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9E79D82-37E1-4807-A8EC-9B6CC2D4F966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9F9D2C4-D199-40ED-B0E0-E82598B661F1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0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6F315A9-6B3E-4847-8701-9FE4F5D5BCF6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1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FC81E79-47D8-4199-A34F-5AB4AB4C9D0F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1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861F4F1-A953-4493-851B-DB6704EA9E3D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DB38308-C1E0-48E3-8685-32FB0F21F690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4926DF9-8B8A-4D6E-ABB8-F5A35659275D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AE8A5AD-750A-46C2-A85F-D7E3D0059D0B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4E3D814-4E09-4334-8DB7-D99950F292E2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3206D75-3E5A-410F-BB18-C3FF4605D6CB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A1B22D5-BE70-4B6B-9EE8-B1508172DE2F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B4E15155-DE4D-489B-9D89-41CD96B7F8E6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</xdr:row>
      <xdr:rowOff>0</xdr:rowOff>
    </xdr:from>
    <xdr:ext cx="304800" cy="304800"/>
    <xdr:sp macro="" textlink="">
      <xdr:nvSpPr>
        <xdr:cNvPr id="11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BC369DC2-4897-452F-B3D8-0B1101728F64}"/>
            </a:ext>
          </a:extLst>
        </xdr:cNvPr>
        <xdr:cNvSpPr/>
      </xdr:nvSpPr>
      <xdr:spPr>
        <a:xfrm>
          <a:off x="0" y="9525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6E54206-54A7-4193-AF3C-E389D5E3213F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20096D2-3383-4CC2-8196-85E86344CAC5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0C5FF59-A6E8-4125-B90C-1ED515FBA174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92BF059-741B-42CB-8290-377C3943906B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AC3AFF0-002B-41CC-8F26-3CB47FD5B1C7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BD8B9213-D25A-4D7D-87DD-6CC421B5C4ED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6B3FB378-EE79-4A7F-8F5F-212C31DBF363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2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48A961D-429F-4041-B7CC-25ACC51BF447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2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AF27E2C-1C01-465A-A93E-EBCFEB05EA15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314325"/>
    <xdr:sp macro="" textlink="">
      <xdr:nvSpPr>
        <xdr:cNvPr id="129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CB69D6C-E24C-46C4-ADD1-C8815DB68F04}"/>
            </a:ext>
          </a:extLst>
        </xdr:cNvPr>
        <xdr:cNvSpPr/>
      </xdr:nvSpPr>
      <xdr:spPr>
        <a:xfrm>
          <a:off x="0" y="100012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314325"/>
    <xdr:sp macro="" textlink="">
      <xdr:nvSpPr>
        <xdr:cNvPr id="130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F8DEF37-22BB-4119-BC65-4FCF69C8F1D6}"/>
            </a:ext>
          </a:extLst>
        </xdr:cNvPr>
        <xdr:cNvSpPr/>
      </xdr:nvSpPr>
      <xdr:spPr>
        <a:xfrm>
          <a:off x="0" y="100012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14325"/>
    <xdr:sp macro="" textlink="">
      <xdr:nvSpPr>
        <xdr:cNvPr id="131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73B078E-40EF-4A24-AD44-B1FBE0C6CB35}"/>
            </a:ext>
          </a:extLst>
        </xdr:cNvPr>
        <xdr:cNvSpPr/>
      </xdr:nvSpPr>
      <xdr:spPr>
        <a:xfrm>
          <a:off x="0" y="1000125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314325"/>
    <xdr:sp macro="" textlink="">
      <xdr:nvSpPr>
        <xdr:cNvPr id="132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22B1441-AE81-4B4A-88BD-EF752CC860A9}"/>
            </a:ext>
          </a:extLst>
        </xdr:cNvPr>
        <xdr:cNvSpPr/>
      </xdr:nvSpPr>
      <xdr:spPr>
        <a:xfrm>
          <a:off x="0" y="100012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3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04E3F8A-F9FD-4F4F-8CED-62BB28C38944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3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71BF711-72D1-4DF9-ADAA-5EFC20C90B59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3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87B0D82-3B88-4541-911C-1E05430AFF18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3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2C61493-D6DA-42C5-B4AD-220D0D8B423F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3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8BD3000-0EE4-4D71-B99E-7B136070E683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3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5693BB4-B26F-4636-BF1A-2AD4E16EC4AE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3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D47B6B3-8DA7-4BD6-B4F6-67997297C5BC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14325" cy="314325"/>
    <xdr:sp macro="" textlink="">
      <xdr:nvSpPr>
        <xdr:cNvPr id="140" name="Shape 4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0702742-2E6D-4577-9659-29BF6A57AE71}"/>
            </a:ext>
          </a:extLst>
        </xdr:cNvPr>
        <xdr:cNvSpPr/>
      </xdr:nvSpPr>
      <xdr:spPr>
        <a:xfrm>
          <a:off x="0" y="100012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F3B589F-7201-4C2B-845E-0F3DA90E7491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E7EBA5F-97CE-46F5-B617-B90EE1AA7E3A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CDF108C-6E66-4AB8-8282-375664FD9A35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461EB5F-3EFE-4DB0-8639-3EF33E6BAD94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0452671-CF30-4C90-AAA9-1F884B171CFC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FB9A7E1-D6EF-4E65-9E2F-DD82E1625365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9B0B1D9-CAB8-41F0-9818-3E23A02C6284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B411F0A-8810-41DB-829E-9F42D4336F69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4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2050778-3894-46C1-9759-20FA25E32047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E26817F-C5AF-4DCE-8BA1-986BA464978C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699779B-1974-473E-BA06-C75F6A54013D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7F04DE0-3359-466D-9CA8-3586901E3335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B1855C9D-FCD1-496F-8ED6-F941F6977725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E94F468-81B9-48C5-8A8E-F9B3DD394866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5A97B03-761D-45C9-A079-7C472DC4BB99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372139C-AB85-46F0-A20B-96F628924B2C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6572693-645A-4227-A899-72318BB797CB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BFAB7AFF-2176-4735-AFB9-623DE7B18AAF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5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591C03D0-AB85-4C19-A8E5-7BBB4412B1A5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6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A666612-4A04-4BF1-AC5A-B4190FF7BA67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6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0A7273DE-0A4B-43DD-BC23-10E4216663BE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6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2092110-60F4-4FA1-BC1D-CBA39294F0BE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6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5A83758-4DFE-45C6-938D-58251F326149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6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66468414-71B1-457D-B438-32F63AFFEEE6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6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0F530BB-B1C8-4848-9DDC-DB13876A3BFB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6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535ED6D-CC83-4CCE-93F0-F2870209EC16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6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32A1408-FA15-4CD5-A6CA-770F2997C3A5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6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E0BD99B4-C45C-4B47-949C-54741A5430BB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6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E756D409-6A6C-4B23-BBD3-AAB68DB26343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7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293AF756-A210-471E-B615-D94E915EA241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7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50AC818-6F63-4E04-9639-9E077E2B9B56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</xdr:row>
      <xdr:rowOff>0</xdr:rowOff>
    </xdr:from>
    <xdr:ext cx="304800" cy="304800"/>
    <xdr:sp macro="" textlink="">
      <xdr:nvSpPr>
        <xdr:cNvPr id="17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E678106-4A65-456F-B577-0BE8BDFDAE44}"/>
            </a:ext>
          </a:extLst>
        </xdr:cNvPr>
        <xdr:cNvSpPr/>
      </xdr:nvSpPr>
      <xdr:spPr>
        <a:xfrm>
          <a:off x="0" y="97631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7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1AFB040-7B54-4116-824F-A8ED2204A155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7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475C708-2392-40C0-A05B-B17333ACB088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7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398B6335-6B90-4289-BAFA-A92F366BA99C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7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F2B4D0E5-BF35-40F5-A970-12A059C90E0E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7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CE93EC37-1236-4F9A-9253-266D94502D43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7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8FE39CC1-AA94-48B3-BA37-7009352AB0E1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79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DD6C8BF8-FB3A-436F-AE35-3BB03FEAB46A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0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68EAA9BB-51A0-4F54-A2FB-36E36A6ADC81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1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AF176A96-CEAF-47B7-8FCD-4C6831EB7434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2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CAE076F-C4CF-48A5-8227-30EC496229EA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3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E8D106F2-6131-4268-9B91-7D2BB540176E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4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9D00E698-7FED-4FF9-B34F-19C694A4CBB3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5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9E87B37-E9B3-413C-864E-7C9E4E367232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6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786D4583-0268-4522-A05D-2A1A9E8E8B97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7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18554802-8E5E-45BC-A942-77A2EDC42B69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304800" cy="304800"/>
    <xdr:sp macro="" textlink="">
      <xdr:nvSpPr>
        <xdr:cNvPr id="188" name="Shape 3" descr="data:image/png;base64,iVBORw0KGgoAAAANSUhEUgAAALMAAABrCAYAAAA8ebOxAAAAAXNSR0IArs4c6QAAIABJREFUeF7tfVmXZFd55YmIjIic58qq0lyIQQJLXjY23Qu76aa9enoy9Fo2DabBT+613E/uV/8FVveTmdxGQIMnMKZNI4lJ4AEEQmOVVEgq1ZxD5TzPMfTe33e+e8+9eW9E5CCp8CJKqcyIuOO5++yzv+F8p7Awv9hsuuSr4AqO/7V7FQodbNTiILL3oY/RwE78kZ1TPzwcP+MdNV0zdWd8b9e8u7vrGo0G3hdxFPwUedf4h9/Fov8M38lx8K9Q4LYFOaYdx45l5+F7+yxuG3+N3E+uWa9N/sJnPFe7V7qdk/dlbRAeJT5Hu2Onv0+32WG+b7fvYa+l0+2jNp8HmNm21tSKLwVpO7C9eWAObzPrYRpowt96X/wplUoRkIoALKAqB6zX644g39vdw98N2a5cqbiuUtHV6nvRPvycIGRnMGDbbwMnv+NPsYhtCyWcXAGW1QE6fWhvxHbtAHnc71/PeyjMzS2kiVmBzAevfxzq/J2yuh308Oc4OI4cbGDbJrmtMK4HNP9WBi64BjbjdRQB0ohd8Vm9URdQN5v8qbtarSY/MVCLrlwuR4xt+x5gbx4fjB8SRXT/h2zfQz2MI2x8XLC22/8Il9TxLgVhZiGw4MEbkDuUG1lnOy5r592BdjEFhh9SPOuFexwcZo05u7q6InaOOi2ZMzqqHifqDtIuMaua1CCgyeT8MfDyd8jWYRvwb+tMWaBu9cSyZMbr1b7twHjc7ztG5iE3FCLJ1MwnwBYn2timN4XhlE0TnEvAYRiPNXGWZi6ARbsiyBLUMbiyWVMBrhocME2A1vY1IBvTG5j5OVl8b4+SpR4zvvCGXn0IcOOScKTSxxDr8FBrH7ZDdIqN44K13f6dXsdhtktq5tSeJwHEkziGUmSs5gWsMNb0Y9Wf9i0fvAGnKEacMqGBrqsERhZjq+AEyKKVYYDRyPNKKv+aj2ZQhYwdShBjdQO8v03taMH9GtgVuKb59WER/NoG+r5de9u12Lbttrc2bgWqPOC+0YD++QBzyjCVBqYjQ545PQFqzJVgoNXrNbe2tubW19el/Q3E/N3b24ufPtG3BG+JUsMDQsAQeCGyH97RwBwDgqNGfM30oNjLHjzvq+E9JU1vWIo2t8/8b9vPPC8xmOMrt46e9qyEIMsCczhi/ALMARI66fmten3awxI/fbNJwbDlEjwNJTzwhtve3narq6tua2srYm0O7wTw0NCIGxwcFICbJ8IM1fSDT17T0UEcQIvdJmwZ6Y0GHF6TSozA0I5klcopgrsBK1UNUb0m3nMdMiY+cnytkRHrGTv9PgR1FoumPS5Zz6kV+/6CmdMtlsHKuknTlcGswq54/pubm2DjNYB4U9xqwrL4V4KsoFusp7sHYB5y1WpVvBWUGPYiSxMUfBV1HA+u4iSAbEYqQOiPLPLe62CTEfLwm94OsPv2AC9441Tg7kekwDwVgJO9zcNigKdej8GvJw+9OWbIhmxsoG8H5nZgjUabwDZoSVwtvkyPFlmbHl9m+EbPY+BOmTnUcuaH1YcW62LeQAkM1tUFny0AScYleCkrtrY2vEcBoMR+4ucFMAoAcrXS7QYHBl1vX78wsnky5KGFnhoCJ8CxXnvCxMxow3bfh7ukmTn8Tr0zme2VZmzxVR+8tCgco40WHVzCPQL0mNX5NSVZrVaXbc1lyNuVzgXJpj509b5HwE60hx5XfryX3oJOdvose6EVoNM+h8wOY88tOpAZ7t6gjlxzwZk6BaI0XI7no9Uxot4WeQr8Q/BGTtizSwClaF1glA9ha2vHbWxuuI2Ndbdf2/enpyFkiCQwICeKXa6vb8ANDw+7SqUqn1GS2PW282+3boOTYW1t8hZg7pTOIjYPQ18ZRqEREPuDNLmOGGR185/zlOaRkavz9oSOHjKsBMaoN8CDDmSskGZnu5Us9o8NWQVlPvNbpzfmCcEMDBwLzC0auy2YrR8IC5sW1MbjzUj0DZJANDGCF5QTZOJNaOJ9P4TS8BMWx8Oga04NK+yPtxXIitGRMdff3y+fSySOYE69jjayvA5gPoZP3yMgwZ0Sqlc0tvR0GCwEq8KyCCKhvc34NHA3GDwSptcgUhboQm2eBQ17trZv2PbKicr0LQfFiJ2VBPQW9XkcAHPHrNwKyB09GOuFSSBziKsihGzh4m3IiZWVZYB5S+VE4E6zRhWDiNE6DJ2M2NEFNzI86sbGxl13tUfes3Pgjww5kX8j+W1x8mA2FmzRrB1/lakzjb2Do2RtJ4CjLPGIOqif9d5No/OZhL71CPwkGAGaAS67U8Vt3Hmb6j7mETJZdUwwZynLdsN3zCJx77YeTU1Ltm0CmNtb22Di1QjEpmNFy+EkNNz2mEexvy+Nq8YNQVuEvOh3p8YnRGaUSuXI4yF+5qBxo+dqw2SGZMoGdOcN3x6BIcOEBmj7PVttkXDDpTa0xx8BTVEXB3PYoinjTfYRvzZ1hn1v2llZVTdRja4A1/yUEOyxltZ9ItkhiV6x3k/fm4nIVp2+sLCwlH+ENu3ZjsVl+Pe9MzyJDVVicIhh1yW6WAw7753YhpxgEMT8wHqfTflsd29HNB73LXcBrOLd0OQfBkcGB4eglUfxeUW9Gt5TIYfweGl37elbT27/+oA5POdhr+940Ne9OyKidMdI6OXAYPQa2zqBaHMZWWNNLkD3zN5A7ks6GzKULaarY7+6F+/B+V83MIdeCnkwYv2qKioxOuet5gokhWriDbeyvCKGHW+Shl+Ygba3t+t2drbBxHsS+KhUKzDsKgJm2U7ujRKl6kZGRhEk6RedzOPI8QB2JhTpdodnwDcazK0Y6CSA2+4YnSaMtXPTJTqoGfwRs9FfDkSQxX26gGp1glxzXwxHRnyCIBkhqBqZ2hC/WoL5KD31wPDgXTj8nO41zUyjC40aSv3Ey0uLbmd7R6nBACeBhYZ4LGr76jOl+4c3KoyMPAuCNTYC1LdMVh4aHFYPCEPYoq1UhrDhTgIkZqy0A0Rn38cy48BooBfb2WFep63aYSAPzFn7qUdECS16UZYQnNHQEHgzPBa4Gxm8Bm8WPVpiqIohyFecVhsZgFls1e5GWrUfe5i9eGxKAXONEZj0E9Ow2wXbapK8+n5Fc9Faxm91F9WFVcnCxsDai3W42tvbl17MvOM+hKxHR8dcNwIl5p4jGCgz0jrxeM8+zok43nHsCbYG7FFGkuNfV8B4LTpVWzCLLzr5Suzj5aMOmbpdDFPBakBqeNYktcTommEAZjWniv2chvY+R7tMfRsYB/jAEn0sf4KO+u3tLbcOKUEwNwBWf/XxvtAC+7U9sDF9yMh0ExDTXeS9HjgFWZkszEbZQhib1vcgonzDwyOuX4w+MjZGAfFeWN7b0eRFNihOGsytoaftehswdMZlZhlcdqUtQSyg5f/81gJ6o2L9XHPNVW5QZqoLNtxFbZdIR2f5mUNGzWMF0y1kTvmbw7kHjmanAXTQsxUAjzkEmwCvhp23hG0l8uSHHLVjAWIAmCFpfkVNzHPzM9G89DtDOojcEA2umqmO7/oHBsQF19fX53p6+oS1dYbHSTNy1HXfYGylgwUnybu3y7HMqOborMTDf5QWlJmUm6pBY1lh7yO8tvNmZBkCOkzEFr2Ci71I2Vg9DAw719wGstgI4p0d9Cw/RISinrtSTuxiqhJBy/2qADINvdBjoQk5Xjfb3D3szHMOjygjMzPOdLQESmxk8R3+5B7bSTJzZ1elpJKvrzs7yu28VQxm3qe6+DQyab7sJOb0Xig5TZbItKmQ7hNMrF0k2QKhKyYYImjYMWInecK4iPUNpmMqE4fhSmVNjdxRdtDVxgs25qWk4JDC50ZPhEoGNRqMwfme56kx6R3bMMp39uxZdISyPHCbpKqqJ9ZiJ/co33gw64gcgvnNlR0n15bxaBdZ/wQzMMRIL1mZ09fotouxGbd/GDEszMzMirSJrMMAvJrdJV9aN4gsUfMBGgjpqdgHmyoTUxMzYkdNrMksfgqc/E2NS/lA9qWDvQL5oC66BnzIe8Ls1MReTei1UTJ4zcTf/J43S009NjYGd9yYXKMFTyIvxz87MEeDqmfqk4fVm3NEDZUbFsnGxAh/ojv2ONQRWokqERyanrqF93ogSwQXn7CwHzb305R4HLKvzWzu6emWc9BLUYOeWVtZdasrK8KqNN6IIWpjmfApbjg14mSSKBh5F9uJpqaBx9nP6IEEd29PL8Vw3J6RG0I/YqcxY7BEOQNNftddd8t1RKwvAPY+yBMynHR0iU2bEzrsoXETX8M/N8kRg5mNotJTy0FwtE68cgbbwtTUjIA5CjkGcflI2xJEBIu421SUnzlzGuCpuxUkxK8sL8NPTBcb4vS4CAUWXGrUudxXkoXgjsM2BDPZs7vaLUDUvFsPVJEU8Bd7/3Hc6+KbsZRD+Q6AvevuuyR8raxsiUTaeRLW8qFhk9ohIbneHJlhrBVfmbXLz7/kUFZWICRZWUf28A7znBKFyclpZeYw59W3Fg9gQCcgmcRDV8ni4qIbHx+Fh2IdvWdHvBXe8etBpIYgLVCCeBWsvYHgSE9vD376NJEIbKwGH3MndMY0mZ+yQ+/JLl/1tXkfLZme29Pgu/vee6LOYp3AZNHro5dNdWU5pY7bY9rvn/0gf45B7VVA6BygHUXJqvEHL4FD+ZszLCozB4khAmwPYn7O/Sxyxh7D6UmvvfaaMm+piQBFBdKgR4w/ygdysWSw+Tj8+fPnAeQtd3ritBsZHXU9fb3uxo0bbnJy0k1MTMgsEDL56dNnkLI5CuZmx/J4VtM0+fLXR5lzx513yvw+q3cRWvuvZ6BB2/J2AnPY+X+OWDoRUFGZITPaAWQSpAE54WbnxIsUmO19wMzUswhMhOl/Oq5pfNx/TjDPzMzA1QYDr7ErEbybN6676akp2W4fTN0teRNV5FlsuLe85X4BXQ9AV4G02IELjhdNPzIjdwTgwEC/sCyNOi264h+ORH8My94IxAd03w0ODbq77rzLdVXK4hWhxDBd+/oCWcar2xDMcTvFo1p7pn9TtwiIk/ikw0BsLjxP5ijbc9TwdSiukvZCBOaImZl0LUkeltZn8XL1Igim8N32zo6bm5vDbyTJs2QVvtuEG+7Sq6+4q1deg3bexIYNN4qstXe84x3uvnPn0LYlt7y8Co1cARMPC7CpwSsAoqZ9Ml9D67vZefR08Q1p1SEFNI3KO9FBBhAsqdcJbq/nvdfjaA/oIEBfz05xlGtMXs9taABGI2k4OvDB5YxikeNB5QSdAkzr5Rt1onkWFoMvf8SJwEzXnDKvMbOGjU1aEMBqUSrQmGe8sLggIed6g643doK6W5ifdTPTU8LYJZz3HEBMw6yCeXj76Gn0PDRxs8wvFuPNygT47DhqaJ05rTOuzb8sF4r/ODLwRfZm2HoUkoXsb8wd3dCR3Qy/APNROlhinwSYPYADIMszTGNSvGgMWau8YEKRuGFlzPa+9U7BPDs7j1Ffp7JL6p38HScJmQForjXKDBqANYBZpioxDM25eAD1LoBMadHN1EywLntTCTnFZOT9PXo5aPiBRaUFgsRsD8CoJ+K7sO4bE+4ZJGGHYgeZgP7u7u6Wmya4ee2WLnr0B3L7gbn1yHA7MzNReJCNLaFM0xgMY03vvWDwTPNxDGviFBAS1YBZ3isiMimciIMTyCYzzM+sQYo4yYfA3qXMmJ+HttkRXUOrkxp4bu4WvBbLUp+CM6KZJ0EQ05gTlxkjg3ITWriFL5ENPhU0DHFbnMMih9ZLKS8mYCiOYzoUpQUbp4xzyDR9cZ35nnwkRCfBfDtIjJ87MOe0e+xijQFuz1YzHxXIGgzxFau8GhCWTvj4/UnM9Rqcs0BmFp6MXHMaOtb/PId6Hc239DFPT097A3BPZoasYqIpAyZk5LNn73B9/WrMkTHpLlP+9vBlQMQujj3Pywj9VsYVuanYmNOrVVbuE68HtbJNh2dHkRum5yXtXD8UqH8B5kM1V6uNFVHRFvFIrB/ZyM/nZvX46AGz0do8ahK0S4PZRvGM80tuRuitEI1s4LUTe2BzO56AzDw9PQmvxqRM+x+BhmXk7tSpCc+6BKlm0cW3dDCQYX7gg64WjR7SKBS9juNUISvGGbYeHdFacdKDY/+qDE+JJjzco5ErvQ28Wp2PCLehzGD7x+6njKeh0jKcE8hwNQFtHiIDrz29WHoq0bV6RIX5OVTOF62s+aQ23NtFcWc5OU/nkz/oI3700W+CnTfd/fff79729rcDzH3e26DT+jXBXk+tRlyskaML1S/9Bdq2+lncg7UIItmYfuk+BF5iBrYOorrqOK/bAcydA1kaLujMx7nzE9g3GMXjo9nzOPhcDGOae6EyNTTgww6RAHMCOP5NcPjCIia0sjOJZo7khPdmBH5AAxcDI5NTk+6v/+ov4XUouPf+xm8gpMwoHN1jcSPHHdQnXUckqhKmIBrXf+g3tusyF5zOxNaC3mNjLB0wBlaWsEwgQ0KGbq2ZW4MlKTNO4BF3dIjDATg85O0D5iQb8xrz29LkIzUyfcqMbUSy0xNfFpgzdbM/UwStpaUVkRnp6eBmBEZuOWyjw4GToMk3/9833NTUTffww7/s3vNr/8KVpIK8Tvf3HurUsE1Nqw9DgBwC2Hp2JGdivyINggGkeLIGRq+wcthQFg0KRoAMCHUW1n7jwXx0IN9GzOwJL9ns2W0ZGoIEMpnZ2iAN1kgZBLo5LTPC9E9pEQQzIgPQ2Dn2ZiirUrOyB0nWGwC9uLjkvvSlL7kXX3zR/d7vfUSkBhPqZbKpGHXQuuJ6swqXBDmkh7obxA+dTtTX6J9OXLVZIuzhnKkyNMxJqoOSw5E1ulolozwqjBvGd6Y3SRtng/c4F3OcfTsaOHI3ytbG+VIvGvVxREskEkMw8iEfn0wKqytrysxB5C9iTSFQdc+Zd2MfE0hv3Zpxj3z+8+7FCy+53//9j7sHHng7vq67xaV595Of/NjN4vtu5Gv86q+827373b+OTkBFSh2tfmHpLLRe9bAqO/w8Pz4eNe4Q2WNBF0QLGbpm/kdk4KWeoYIk/WBT74VBtMGOH2A5GhDywfzmgfKwd3JYEMvj9aOweS/IyAS0sKlJzUCaxHLzcFdXWF1dVzwFetkAZgahnNADnhcyPTXtPve5z7kXXnjBfeQjH3EPPfxLSO/ccFOTN90PfvCEm52dlSjdu9/9bve+9/0bAXa5XEV0hwamniucnwf06vm9e00c5ei13agXR0amq4+JTCLKrQME99kR40XDYZiXfBy/9CEbOnpo6f1uH+3byR2FUkG3b214h+CXkZ0lA/wiR0mJocdK6+VOrsm2Kayvb0ZgNva1Lw3gVseY75lEP0NmfuRz7jzA/KEP/Rf3dngz5ufnBMyrqyuicQlmgnJ8YhyzQEaQjHRT/NPV7qq75977JKGe4Wgf6fAgj8HFfQfgVyYrs7aybSCejIjIsi1l6/HaMIFZmQGotDY7TON1uu0/r+BHvpci3R4hMPm3TU4OJcfBzpE8ymHsisLGhoI5DWT5yLvrZHqKBwV71q2ZW8LMF1+8ADB/yN137l43PzfrJm/ekMpEQwAgQShJ+AAvqwx9/etfd0wHrSJz7rf+3X9w//4//icBvEyPwj+mfnI+n40S7ED0XXN+HzPsxGchkhvXEjlBDKxJto2bw27Ne1DCGSxyPD1QnqUcNuthGvUA9+aysnQ7/9Np13hztkuCrjUbW5uGpMi/TV6kJUbat3y49ou3LqCiUMzM/vN0j7KKnObwJsN+8fNfcBdeOO8+/JHfBcuedUuLc+7atSvId153Y+MjktbZjzwKLui4vLSCHOYpqa080D/ozoKVT5+9E6wNv3H/AB6n+qaZiCSdykcIte6Grlki5bwIZn5Gr4lfhIfXpNWR4gV5eBuWq6F+Smt8deNZpwgbLakFgwZKAT7sAGFHaKXDWz+sFmAO3ZfpJ+w9P9IdW3aWY4LfPE3RYTo31Oy+bYm5sAZ0Hjmkn0PWdulnYJdWwMRTMQAPtJUHVBh65Da8IKaAPvK5P3OvXHzJ/e6HfkemUC0uzgOw16XIyyiidCPwQDD83ASTT0/NYJLrhjAwo3jD46dcAVl0Z++4E9ue0gw9n1EnBi4nvUbuOwWfumHi5RQSrCnPM87zUADHANe/bQFKLUEgE1+ls+hCl4YJreUsnm41SbxUCfGSbswQrHZeA3qa9cOHo/vJmQ+HuAx32ImAWi7Gy7gD5+gMxKFss5sKFwMNJUYEwqBx88Bs7ZgGd0JjE8xZQA4fRvjAmRSytETX3BfBmAUYf+8CC/chLfSWu3z5FaTxbbthSIxhgHkYNd/otJiZmnWLCyuu0lV1p0+ddWcxb68LeRzjCH8PICmpiCr3zNMnkOl+S/YtwjjO4rPrSrOqpRfK5Efckaawpm8tOZs3mrBLd6GAWh3h7Ey67ISunaKrWiVXdw07TFRtyXeqsL2y2Du8hyOBOfXATgTIUcc9gIaMdszue1mkaLUvLEaR9fxymTY14qRHPztf1IGQ0pkrgCxgwodDEFu22xRmlXzms591v/mvfhNSYRCzR5bdzNxrbmrmEsC8hgpDZdG7vd0DrloecltrDTczuQYHY9WdmbjX3XnXnW5weEAS9VkXjsn7muds0TzPEMLHxsgGzuSs6zAjQ7bwec96hNBYjL+TBuU/n/aa6N3hPt6Do353dSUZUO23NTDfaxkyrbzEWedRfTwP8oOsHXFTJjrypE/WxlmAPozOP3iuzg29LIDys7CIizFyCNx2tkqWdGt1TwVUGvJX7Y2liBZ1aI5yUD3LUcSzTtz3f/B9mUzaLG65rb15d/PWs+7W4gXM8au5/sGyG+wdd+XCkOst3+Fmp3bcjcvLAHO3B/Pd7hT0Mit29sBth4NI8j7PZ8aBsp1nZFl9Vd8z+MJSXNTS7O1aV0HznyMWbDVsB25Gv0P0SzuOdx+am8gzPGeVWzYfH4LlfUdyCGgKZxWz0aVYpK89zd8Et32myVIEvn4ms21kWEhq/+yckyDhxutqXgdHkFayJptPYz/wwe/bG3q2T8iSoVYOdXJ4bZ101BDMnXTMA2BWQPhLlDxhtq+VxuID25c6ya9dftV1VQsA8qJb37nlppd+6uZWnnel6ibymSsA8x1usPseV9scda9dXHAvPX/T1ffLmNh6F3I5zsGd9y533333SQKRzf2Tc3tfM2P3jAhKEIUhQ3IjK4IW0VEgXwgAFprZQX41MSjFxiWcHnteEg9HpEdcyslmeSuSvSaXe487daTvhKF1fmSYwyIdTqaaaUcjmHk9Ui8PTG3MbAUkQx1v6xHS6I06B7UWbpU+dbJ7uap1QTipgaC3SQq2shNn5Nixw6n6vCUbRcM2yANQls7NA34nn9v9WEZclt7tBMzat2P7x86dZ1ADzDu53U8bWh+wNg5nz+5BSuy6qenrbmt/1W3vz7rZ5Vfd5PwzbnPviqt0o5BLX5frraD+W/WsW53rcl/58hPu2R9j3uAGGrkAoA+Oug988D+7j33s45L/XMGD8upACsiQZfm7ho5DmEUL8QgzI7wNMPOBsrazxfd1CeEw5VRvPWy0RAOmDJy0/jIgR/t4yWEGcTTNDJ/rUmRMnEHbsLI/wBxVevKAM/Cal0WPi8KQiKjyL35OEEcFtMWglU3kf0y60uLbvrY1fUBkf8oaVoPCNbyCeZhsh4ceekiSsvLAYO2SNkZDsNjf6XbJm9ETygcLjphfmccyj1gnnSHcJg/M6Wcr96pgThtL5i7S39qz2EvITGSfTXfl+s/cxu482PhnbnrhBbe2c80VqmuYrFqADoZ/uasHEmPUNXaG3MyNfffE4y+5Z3581W2tlrHNgHv/v/0t9wd/8N/c2972dv+8lFV1xrbXWwAzw96xG46NwoLiw8KIrMVhDRXqUY/iIFzigR0/Id0kaLWQhaO/g84gLeTlhX1vUqOBuZBWgYfTysy+IDObjraHnZAnOCZtBb7C7SgiZDTy0U6+Z2dnpzFjU7bxkqkLLM67eeyxR+XcH/zgB90999xzYCpZR0O1Z0LrCFm/02ALtzEgmzsul0xyUJ1m3bQxnXUP0ciSBHPS56mamVpMwVVExloNM7L39rbdxUtPuYX1V92NuWfc2u6rcLWh3FZ3DUAGWHsqrhvDY6XY40oNJAg1J9yN1/bc17/yI/fMT26AjYruzOm7kNfx++4DH/iArAxlVj0vjFPNpYYCwSyJR+pLVpbWCa3cjjXtbJiNcaoQDYd024aMGQ6pyaFOj29+7jC32wIbEVsH8yU1x1slESUGl3cjoAhkm6coHUe0eHxt0XXTJUnN7L0pQhpSEg2viJk5O8cbrXYcsYt1ojGL6nAyKHPMyYYE87lz54K8h1a6OP+7LAOsFZD5nXW2cAmHHNwmPg6lSPhckq7TbBdm1K5o+AyZ4f2uEpkjU2rpJAQkcbGcRbvjnr/4hLs292M3v3bB1UvTGOrQqD204qti1HWX8ZBg2JWLAwDzqNvfGnLP/WTGfenz33PTN1dwuKqkdf7Xj37M/d5HP4pI34COAPhnRoOUMsVIwDoZ2rBNiSAyKsgXJ89ynzCoYw9AyxeoMcVwOBuZYLMyuQZ4noPbWQkxk1TGLFZbLxpuIyBrsRtde4MdT1eNXca6LARUD2bGUPeqNrfVsGLjTq+T72Pda/5vyizJT5HcQ++VEamha/HJtauvRqQHz8PKUo8//pi0B8F89913y3bWPq0YrROwhdtk6V3rrMas4aToUIJ0cq52Xoz0vUTnPghmz84SM/brTcgsEa4UxDL8NQRGNtxPzz/qri38o1vdvoTK4PNioHTDHcclfnvhbutCtaMyJEGlAHZuIspXH3YvPrfoHvnMd1BfYxGppPgcD/JOFHL52Mc+5n7nd35XQLqFUgaiy/BQ9qXI9J73ACg4CUwGY9hY1MwGTms868lsP8UKAAAgAElEQVSmUfnbwKyFznVWgzGB/TaDiftTd5JdCf5Q44b60SSHygZcK7TvGkYKLjLEeZJcs5vGWzyyaIAm/FFQ+iLtFuRh0MYvXqR5KGT0SG8oFmjMeuOT9gZHhedfeB6Vpi65t771re69730vAllnIjDbKJUFQgNX+F0r8IVt0A7g1planTcN7qMA2c5TiMFsFM6GM7nh85khLxpNGmNIzgeoNzdX3Y+f/4a7ufRDt7571TW75vHgygJmApk5yALkEnytJTxUhxJajX534VmC+QmAeRlgRrVPvFgJ9OGHH3af+tSndeoVHrgBU6xh/FRg1RtDEgxkft40ZYMxqw1vIZjNCCOYdSkBrV9m7j+eP9Kgnp1lBSvcC7el/rXGtYLXoTbXz3TdO26/6otIsoP1osPxOEQeSdhGCp4zHDplQi7/qVEi35l+ltaXcg6UHd5LY54XepnYGbDPtatX3SuvvIzKUXcgHfcBKZBDYgjZ0h54J8zYaptQLqVBmsfYnZ47bZCmGTgN9PS1AMz7XmYEesSDWRhMijzT/WRgRjX8zTX3k+e/6SaXnoThd8XVi/MCuJ7ebuQfAwxglmoXhtlit6uW+hD5Q8PWKpAZCIN/9u/dtctL0Hu9opMJNBqBf/Inn5R6GFKc0dft4EQADtNM/OdDNuBKmVxcGwHEz0IpEMoL/m3aNfZJO9kvZGZj69AXzG3I5MKePhJlncDY2sAsHWV3H7PUWRFVmZn51zy3TG7wBW9svxjMShoGSoLZJA81tMxi0CtQF6mhTAZNPBm01eytWfFijIwMu3e9652SoUh3Jzt8eqhPg/swwA6B2kpmhMDtBOzRLfk2Dts7C8zhZ+mR8iCYCWQ2qm86DSXzh8n0BNcuqn+uuadeeAxgfgpgvuoaxQWkdmI4h/HXB7dcmUs5lADmgoK5XMT61Y0e99xP592ffZLMvAgwQ2bAmGMV0Le99W3u05/5LJKQBsTNZGCzobSrbJpZ60FzHwLE/JiiL72nQdkw9g4QUOwwlh/A7ygfrGMYsExecH92ArIywRz7g9U1ZszK36qrdT7iLpa5MDDTziCYZN1vdEYC0xbdNGbX3yo7zG2hD4fZgz5/hPMdxfUX5wGzGDuviyMWQ/+sAMR1wu9CVLUfed+8JlZ7Er3uSSEcTQ4z5GeBvZ3MCNkyDews3Z4+RyuZkaWV7RxCTijm4vt8PDFUO4maHsocXEOPYKZPlGBeBjM/CpnxlNuAS65ZXkSuBVi2B4Kiuw/1MwhiOP0R4CgXq3DTDbv6bp97+skp92ef/rabvI7QNrwcfJCsmn8/dN5nPvNpqRJKQ8qAR2ud4LYLtkiZArQsmpnADAMEVobAhmsLK1sF9tCwM0MzBDRBwGNQwtgSFnZ8s9BN95qbzdbdoEFKDwvf8xiqzf1iQd5DIT5lygnJ9bDRRluZ39kqptyGHUDVh0YT2Sn529jLriO8f24rabMcFVIeFAPOcQDdCszp7w57nrTMCFk7qyOkz1dAAETBDM9DvIP5nVU/i4tOloPlgoIA8/aSgHlq+WlE/8DMXQsAM/zL8GYwJ6Mbs0qol/m7qwAPR2nY7W/3uqf+6ab73Ge+jTyNTTA1jEIGCgCet2IO4Z/+7z/FXL9hAfMeKoVywqPUbsYDlSeKl4SG8RlLf3E/Lkm8hUKNpo0NlCETcT9dpUpznvmQ2QnMC2ASw+SJLIaJ6yKYraOYjAlnSNhooMypK26ZrzkMFhjgY5bSpCX1Yuj1WMfTYyqRpO8llE/2nOJUA33s9nBZ5tfA3Ipds75r91knYA7Zst3xwu9DVrbnZR23FZijEQgNH4FZu7wBWXMUjJl1ej+Xd8C6JVuL8GY8DjDDxwwwN0sLCL3C09ALZq7Co1HuBoC7XE8ZUkLAPOT2Nnvck/9w3X3+s99xc7cQgoZBaEM7Z6ow2Z/To3YCRhRDj2wlLjuCuSz6WcBNix5DOCUJL7Rc0cIwITDSgDOdbW44gs+SguwBGGgskdy+N7BqpX/1Gad1t31miw5lMSGvwa5TmVurmBqTh6C0bZPSxLtNvb4Or8WAxnYji6eH/OMyc8i0rfRweE2dgjnLuDMg87fZG1n3ED0L9WawgWwdkRjMoczQIEII5m+5mZVn4Zq74hoCZocko4rrQRJQBZqjApnRW0W9OQd2LSCzbqPqfviDK+4Lf/o9tzCHsqUwAOmaI8s+8MCD7otf/IJoP0b1uPQwQSuMSMZhcIBhWw9m3jgZnF/S2JLKkT7JhmVyeePsrQZM3qyBk0CjHODr1KlTkdVvBmIIUG4THsMaNz18p4FNVjdZE3oxDKjGqMa+cVnfwAiXB0iN4Z+C19HRB3xqAmh9vCQeyx8hmHU0itnawJIH8CyGDDtWq7+zvstj8Dxwp0fTsLOkv0sfw7YtkJmVgQP3jw+SRPWSCXQyEfzMqpmX3FPnv+Vm154XMNObkQAzZQZyKMjS8CcgEog00PWy+4fvXnJffuTv3eI8V9skmOH1QHDhHWDm/4PSBZQdS8tLAjB5GJLEo4EU6kcaPKo11ZNhD4bgoEHEK2QnMN1sxhtlAA06gpjbchjmA+f3oQ5mK5imNqBxe+sI5u0IWcIkiHlYKE10pS1du8WuxVjYPue5NKqq25gWDtlIHoy45jSoE3tBYg+LAYnbmptRwZzUzGnAZb1vNZSH29u95AE8BHKawQ8L5iyDMDxGAvQCZkmH8LXhBNnmwTDNrFXpaQBSZqxvLsKb8bibWz8vrrlaYVZkRm8/dHKFMoOaGcyMv4tNSAMYgBvLJffdxy66v/7yj9zS/B6MIC5AycLhFfEzf/KTnxSWZWiXriXzq5J1ST+SIebzhXktuu4FMvi43DCumECXuYI+kd4evIGA2zLUzMYxXWwPX+7e63d+Zv5oA5bJFdsuNLiMec04s5C2JRvxc5MV9hCoZ62DhWA2QIYsateQliJZQDJfOMGcNgA7AbNdXwjqNMOmr60VoA/DznnMnAfmrE4Cb0YNn3M8skAJLg9+Zc3HUN1cBMsamAEjSAEwM8A8u/GCW9++6mpFgtkBzPBcVKDXAjB3IUuOec1rS0X3+DfOu6/91U/d8iIS/RFIsVzfhwDmT3ziE5LjcPaOO3S5NdHFPp/BdKbpxIBBacxFDOgDDzQaFWRxgMKMMx7XAie8JwNjqEstwMLvmV9BQFpGHB+e6VvrANyO12wuwBVUROVIYEwePijuw+3Yuej54N92v6EeVxD7iqnooOGokNSk4nQWHJqPnpOIOwFzFkuazLLv0rKkFdCz9klLsjxmtk4bHiPsXFnnTR9LKhrJpFEpDWsrOzEHQNcbUV+ozqCmn5kyY22DzPyYm9+44IMmc0j9JDMTzHg4EvmruD5qZoC5Uhx2S3MN982/fdZ942+RYbcCjdtAsXA8JHo/3vnOd7o//O9/6H7tPe+RJdWih++DAxIZ85NYCXCp4ev1MhnQwBBpJ7q1eD862MjxQgCbpg2H93RPt4dqmW+W2sljmbQIWZ6fGehNzoR62a6Bv9lBCFzMjBdZxHwTDo/mBdEae+rSkwER/9hBGWWVEceigUKLmjUjQRTvWeHxKzCI00AM2ydk1BDAoYSwbdL6NQtw4TZHkRlZYLbraqWnQ0AXpqdvMWYq8++sPBanCDEHg/KDKYrd0L7SQFXmDTACCNccwDy79oLb2LuOcPac+Jm7exEFxIOhn1llBsEMcAPMCzP77v9+9Wn3+N+95NZX4cpqUNsyw67H/fIvP+z+6I/+B+YTPiSyI11nmTdj8/V4gwQ2E/XDhheDTww/C8HbnD29Xa3/q8A2b0N6yJRjEyyBK5CAN91MsBGg9hk/t47E/dhGZHWOFnyp7memoaa1SqAGv7kdV5clM+vi9T2JcDttBcmco7fDL53AzslcD8mui76Ll+wwrw+jgmRmenfagTkLlGm264SZw46Rx86tGDlk4KxOFoK5lQYv7O+hP8twbiympbFUT2rGl452ZA54GRDl4/p///TUNyAzzmOmyXVEAMHM1X2AuYkEGzjsy9DNXfyBIYKQtoK57v72r37ovvPoeTxEHl8DACxH8L5//T73x3/8x5KoT8DQaxE9MJMaOk5EQJegAicMeNY1f27oKRBDzTOWqhahMfGE6D2zdh4TqNQHrYawdhYanLrkMQHFNE8NnZN9ZaljGpwspi5BDHYCmLoAL6N/SBFQDe47Am0BBbXWIS4DlDwvE5MIZkbuLFBk0T57gHpNujItmTn0rjC/3J6dPTN2ZoKZbZvHxFnAygNJyLJGBuH+aUZu9b4VoLO0uJ2vE4kh2+7v1ePzU5Oyuf3QpWDWH8UF3V1Ft4zlHn78LDQzmXnnpmsUEM7uqSO5hrKBk1i5LiC0JgBdAaALjT43N7XnvvqX33c/+C7WBaRnrKmJRuPj4+63f/u33cc//nFUxT8tQ65a+ZwG5acUeRCqq0p9UWKU0YvhvQa8CZsBLBqaxqLMPmHARxkszOMQDwjYURbkDHy2cmzsI7rbongCZmzL0LGfxxcGUGw4FADJjBC0k/dQyPQvLnGA4+r1sYaesj0LtdNzw3VadKaK1mCTQusi8eKZM3JNZGbv1VCdHPu7pRsGMsMCRaGEaMVqtn8acIfZJ2skaLe/ne9EwEwDMEK+Sq/gpa6heH4Z/+YwuuFevvw0pkv9DAbgjKs1VtDQ+wA0hlCAscxFeYqQC/Ayd1c0L2P65qr7yl9+y/3oH18EmFmTV7Ux8wg+inzmD3/4w+LFUG2rFyEmqR9SjZVtOCXQDZAEo4GZnzNjjYk+skQyGdgP1dTKYrx5zUngyDrf/jz2QM0VaC44PbaG2WWRegCdXhat9xEHT0xL87pM32qo2wdaqOVwfQbmTeQ/s5QZXYV7LLwduBttbQ97GBYMsnl/0jgdgDnxNJMPN5JTafbtFNBpoL7pYEbOsIeved+9QeHvSA0XJqHDb4osLhueVzfmwNfrbr8BfQh3nSsy15kzOaiHOYwjsR+HRvYF+kMFHowt98Jzr7gb1zAXcLuGDqH5why23//+96PA4vsCK39TM+IAoAjVdj3CWApygoauuXVQPUHDIZt5vFwkyIZZAxjXl2N0kUO/Ma75p8XgsvWZ/egkRieHI+lUTGrSqVHRGiq+OirbQ9yHlBoYtWTNRHo3fJha/diaCaidSl2DfPEeLcARhcCxidkDYYdORzZ1gEpGIk1qUZMfhpnbgdnAnZYQWaB/U2UGHpA/fzL6FOot63HUepzRwIbfRk4EI4L0elB6uCK1JyNxKkn0QUDTsowAWBoOLQzf0MJNZpLpCMBOQpDITGTmQwPYXDSTgFE2U3YW0EmkT4MolBv8m0M/jS0Wa+QDPIPFe6SKEtlSdLBeiKwxh3yPZbjMOMXIpAIPbkEThaxctLzsntX41DW9bfKsfS9gD0BFgLGwJHWz+p2VwTUN1Gf2+Xvg8WVGCrw5El73qawEu44WGvoz24A63QJGOpKqx8OuxbwlbKsQzCHgWg35nQLa8iDSQA7bLAT/GyozotwMe4rBVQrreC8BP7YcCQ7Xt5BHK5NPrT6caAKijyylK26qa4/J5xqWlk9k1or3NMh7df8ZM8p7P+cvjHqZ5yIMWIQP0kLCeg6f7B6A0sLV4XZh0CQcIu2+LQihCfhmQFotD616ZPU6tGNysRlv/HH1WanORImi4GQnsg7MYxuY6dWx65Y0UzaWB6p0JpzHOiBHK3kmSA/V+4w7nl23gdnax45t9xjq6BB4nQC/FZhDQGdJkNCQC88V6uX0fmm3XHhP4fOXe9zf9wI1PLr/225e9KnXhwQewTw7e8s1xBPA1ozMEQW0sUaowam9vdGi6/YlR4LkzflgSfBh2BD2gCMZ4MFrbjX73nY3D4B1jnRYOGzMPDeQbWPfZ1nYqvet+r8mPZmW571L5X+8zGPBUUmvzfJikuXDFNjYz49cck68FxaWsgvacUMQhcycfvDhdmlgtZMQIejbMXynLG/HPA6YraN2BGbbmCyshAE/LRhoCUsO1+Gu4kPSSZu+xoZ1BEG46keDunlKNA9Ely+W70UW6IvvTaaEjZIGXNi4do0hu6bBr9JD5/95n00kJWx/qzCqLh25migUbSsiyXE5/OMi6fuVZZKlUqm68uxlGldHHNXKcZEa9ZvL/Xuit6XmpB29r1yA79eRIaCls8h7XkNSZnDbUDOHrrnoonz7tmPmTsGaPm76mRxFYoTXZn9nMXp47Iho6GeWi2i1WLdvhBILHHJ4ZPQKPtLIdYfwt7i3+CAgKyQI433UnKEi2zFpCMtBxNl5yeHRgGxGTZalbg/MbiRryDPtaDdoUsLWUFHzVpN3bHllHVl8d5K+pSNDVAHJt41pVdHywooaMdX3yq7GxNr5/ZCFbSzYoXkaGnFlB5AVZtkqEu0Ll5fTybucsEopE60dHiVckTziybkhmC1EngUmu7eskSUNxhCs8fPxBBR8mSUpwu3Tx0m/D4kqa9s8eWLniMBc25fVTHLPl+4BfHA0ppgUr0+PQI7318zjWEJIbeTIJcQnr8xmn2WdOaoxl3FVIfuGf9uN5elg/Z7TvnQSaqgf9W/1NiiD6/XpyMHPaXDyQ+zLSb3ysrJa7KzqeiO7ctv9fTIoyzJwe1vjzjxBKg302L4p8LcwM8crpg+AEMTPDu8RP9Ya1TSKdfoUp5eNYik5uvTCJCbp3DgmE66YCpsFqHSbpZu4HSuH2+fJicPKDGlNtonHif0OpV3WedPX3lIzW2MkcgHwIcG8jUXf/VicAbmjfZTXkGkWyRomsx5c8jOVGeY6U6gqrcp5zZXh3yuo+Z3eZh0AZYi/QTckPDTieoS5oUP7Ln4AcmyHIJTbXN9ClHQDrscNcbMx2NGDmee6BLPvxxY2F5mF05Ox/ehGMJfI+jTy/GRYGomazIRJwwiySAqrlzmm422kYiSSgD4KY75ZYDbEpM+fBnSr62sL5gM9gsyM6jl00bUCc8uTmk8pA/Od7Jf3kLK6ULitVRLNOkcUABHGjFlaj0nA4TOpHUI0MtJHYGoNONYUMcOPbjW6C7mCQK2O9FRKB5lDSW8QPRPMr6CrT92CGpKnDLEZKOqJMTlirGxApqeCwKY7VPzVkRaPh39Kl3DaVCsDq12btWLEk2TmPDIy1m51HbFmbuHNiOwg5TDxaPAG6ObS5Hgf1MhokVY6pxVv68O3MG6+/Mk7hjVwtp72QDU2tnvygY7QCLXhWIfuuFysNjo1LH80QYsps5LIhO32UVJsE0GcbbByrb4j0qXAeZRcr8Xra732GLS8X0oK9bJo5X79m+mmqqtl3qOUvtXpYQJmuPrUoPWDjAR/tFwX92FHC8HQiihagcW+65TpjyIz8s6Rh6PwWiIwM5wd3kjCC6CcpNY//jM9KkkxYCCtTn/yr9YGgR/3/Wk7YekkO8duP35uHoCwMQ3I8UPxaEndaiRBqI0liw+6Fu5KpnZuYTkMBnrMgohLNlBDM1qogGWHAC97o5ApnloJlF6Sri6GvjViGKaTWuqquBo588abr5rTghRT5BVoqQG91zAs38nTygP9GwFmJYsYVyciM4yVtdfH4jxK0PE1JPIa50CDiDT0TOGPmdeJOmWQ9I1HLJQ2aSNjzoCM34ERqF4N/12wrbG7eCz8tXO/ohi19FZoGJtsytwNiUzi+zWs37KxCZvClzjjCCbuRvzmcsky+ohMZwSRWpnRPURHJb00nq0tAR7Jy46XoKAEIlvbDJYsRrUQudX5sJC+nDd4lp2wcfr5dgLoNHnYcznMc+2k06W3ydXMdtMGZgNOp2A2NpcTBkA+ykUmQK+Hy36lQBxeO3ewh2tFw42Vba5h6Amx+5UHwCCF6gkYZmRflgXbxcece4jC4gAjAbOLvzn8cw7gJsHsP5dwNQtOonrqDrxArKVMN2d/34Dsu7GxLXMh+5FoJfoZhp+moCIkjpnu7ExWT4MuPiu1YCAx37kQGrZVMKsbla92YD4MyLKA2mp0PMyxj42NmtfMIUAMiKpf2UDqarNhmY57qeQTMq1dSZ5xlwXoNIO2uZso2JGxXUJbyc0oCEP9lvibAQgfhLBJrEwnTWhtD2QeTRPvCm4Hy7+trmLBocVpNzN9Q5aMOzU+IXnZW/DwcOrXMiblljF97Ny9b8MiRHegnghXB2jAKFzFWolXUFLrhvidz507h4kK6+7ChYtg3y43cfosfk6jTNkEZroj869vFCXPhoSJVfrojHMClUaghP29S8/WKWc7MGOQHpQ0mK3ZOpFm+XwRIyVPG2cBvh1Q2wVG2u0vMK3VvJWQsXUWmCXJnDm6wlQdvgy0IXg94PRXkmsTjW0Gju9UZvDoLgpY+edd23Y8T1K+E+q2YsDSleYNQBtlmBxEEDJXIizgIsf1awwWoF1Z+m1/D7OvN+fc/MJV97OLz7qbNy9jnZYzwrTLKJyI9ABZoPMt5x5wDz7wK6jSdBfOjVp7jtmFm+gEV93LLz/j1tcW3L33oKQWOsEzTz+P1WsXAd5hWR7jwQcfAksPu1IZi36iTh9fUloBR6GXQnOg4WOWnBZd/kJnUGg70P9MsL+eYG4F2JMCc17ny0Kd4AJaL3vUtk9p+3mGM8NIM8PYuHFwpCWsjZUDMEc3HDI2/xY2PHi0yBBQCCde5mdN63u7XvvN7UKDjx2TINaZ3qiiBP8500Q58vAcupAmjgqdWyjW4CVg6BozRFavYfm4S1hi+RJclIuYKtbvrl+bcpOT8wDvGSzYeTeqND3sxkfvBRixekBzCPuv49zLbgczc2ZnX8IxpgDkMpZUHkTtvWmsXvsavq+iVNkvYRrZv8S6MKfdXh2141CSgTqcmpydnn7mYRRnH0aBRLrpYs+HJnQJMx8DzKar855nlpeoncxod0zlqdZYaiVXImzUo3zm9OX7Ydp/bEDgQXWKD613S5A5eOsHhqAAtAYu0dJiSCk783c0GngPityoZ2X+spwGrcXWJV4VuZnIRaX+L/ssERH0x5eVo3x+MffXyapgXHggmGNNPzr7lA3VTZRYKHHyQRnGX3PPrSxddDMzz6INroMp110/VtZqot709PSWK3ZhDUTIju6e02505H7IhLPI+UYh9doaOswCginPw3V3EZ1iTQqy9/eOQA/3IAtxB6CvuLGJs5ikwELhw253rxdg7sPfunqtznTpQaXPM1KXrxv19sTjh7TbAoq3N+H/VmbWUgN27+28GZ3q2ui5+cedt1+e/GhFeAkvWspI7eT6hNBagZmKWfIYAs3cEswh8xIsHjyKVc+nHtTyXoZ77ynAH61cfXYNlokmk1f9MWjt83hi6PhZJZYZFzaETp+iI0KT5TUNU+vaMROQ5QEEzHgvrjafr0y3WlcXWBFpFCVEALe2XsbC9v8IYL4KQG24vu5Trq8HSyf3nUZv63VL8GbUa0NuYvxhaN8zbq+Gyv31VXy2CMPwOVQLPY9OuQaWxcycMiRDzylcE9YbH8Zv5HxvbROYI7g2/nBFARZY1IpFjCSOjp6WpTAY5WPMhX5uJJjixgBuGoAezCYzQjBnsWQnYEkDtNU+bzSYO2LmNJitp8t0Ixn2It60vupZVgEaAzbIhQhkggz5PrNOPAzSAQ6qHtXE+mMSRCoAYVOy6gIy+Ez/WjEYWYoCQ7J6BXxiTzRzxF+3+B9xDXI/KG6D5Klbs7NSmpZldOUF9NsCOJUyqnuWWOr2Ray29ff4fQkTeDdRuekUWHvE3XvfA66nf9hdunwNoO13Z06hdELvnWB6aGZMLavtz7v1rWdxnguYVrYBQ60AicLZ2SM4zgRKNYzhexa24WztQew3hmtDBdUaRiBJlkM1JmjsESzRzDUUOXFV/NUydBmYcUwpnBgbgNZ2sasxOaS3A3OWBn4zwWznTvugD8XMiaCJFBBs3yhR1pqwoVrktkKKsWOcBK9hZJ3FHL8sMsaL5xw4Td4vyRoik5OTqAa6rbOkATy6rfp6MeMZbq5+eARYv06sf9aC9tEz7RNqLPEONGF+D0P9tLt69Sp0846wm9ZUpkeE6w+ydgXqNRdX3MrKcygj9gyANg123UKByCEYZWNuZOw0KpmOu8lpLq9ccmMjv4rreKurN08BkAtgf6whvvk8rvdVsPwOOhs1MPItKkgcGrkbhSPH3NLKFoxDdqRRbD8OQEOG1FjCANeCIArva3hkXNaAoX7WiqJUWaB5ygz8U2ZOgjkcHdP6tFMwd8q4nW4XPuPDyIz09UZ57XWpAppmWE9KIj/jKJL1bJ21wWW8YsblHmIsUe94T4fsK2DRYV2AzeGdU/yZAWafkxllLT1dGkxmsFg/oXSP8hZokFl0TKf7Ly4uSg05rWnBxSBR4w5gprXPKVRk52hlVJYOYKjCz2QRLwA7F344SXdmZhrMPCN5FjJP0G/H6WFFzHEsFBchAa4AqC+AZa+h2M0a2HUPupeV6vvdAJZ0o295bQPuuxUGPO6GHHgQNUXuxr0tgPGvQJpcBNPPYaIvDUrIF+CW/uTBgQlc56Db3uW8RhZHH4LkmQCYT6EBh9Am8DeDhVn2d3gELjvIDepn3q8sXA95whA7G5z3zU7N+5Dn4oMunTBzWoakgZPF0gnmsTHa4ybru6zP8gzAtE5P7xuN2By4algGIh1csB0EioGVaYAUMGNaPBFHDUpmE+ufjYZ/ksvMz/1ETmNnBSpcVzQi0dDGyCpbNN/D/tZGM+DFCfACcjHOmEWGhXT83L5tGG/chRWCWCWJ7ESr3qYQSa1nX77AEurl1uQ8WnZgaXnR3ZqZQQRvTSeV+hwIhypOjeY6DLKbbmEJ5RXWLwPIS9C6+wAySixgqTgy7CDWAi+jAM4GpMIcKp2ur+Ja+t4CWfAg7mvBrayilnXzJq5rE/uyzgb9xgw3s0g7/MkomrOz08CIg1B0bQBAvgPsfAodB0vFoQQw3XADmKw7jDl5Ju8AABIKSURBVAUr++AF6YYXxcDM+ZU0FDnsMauuK2Dm0H5op5l/3sBsnVXoOB/M3iDzYCYQNadWF7pZXloGoIJEFzlaHFzhW5mO7w1Bee+NLvpMBbS+RoQsPeb9vFYMxequ6QwO9aUKCDmbA6fRKUhNWRRnExE39lBuRxYWvQy3lelmq4bP5SmkwIulX4oHRMxUOf8s9PLU9JTUryhDM7Mza3CIs8433CJKK9yafRqSYQZaF14MrBM+QDD3lnAughlrgff2A4QNSJYNSKANHGsIgZN3AeTMpJvGdhv42YXOhvzBLXQhmKJLCnMEoRuuhM5Cf3aPqzXvAFOPur2tMYB5SFi/io46dmocHg0EVtABdCoY5yNy1NFi5RyZ2NlDbRka8Wl2S7NtyJLHZeasztMpM3cqVyKZQTALDgMw8k85ECUD/nFjApG/BcjLy+6JJ54Aa+jkzXDunbnYQguafzPjiw0sdSuCYi7K7jT+PPDxN4HOfTShBkk24rkg4KFdGQ3zo4AV1aYhJLOhqYuZyys1mm0qk2aiSafwARZZ/Eb6nqd577GxUYEfyzWJ25C/MQqhjIJDsZu19UvwKT/prl35EVh0EgwLYHaDWfuqbmho0PUN9COsvQ/Jso6yCqtg+yYS6e+HPOBItSyypKeKDoDlMirUGChESXZlrZFKNwvjlOC6a0JqQCYUT8MvPQIwnwJTj+L8IA/kcIyMjyHqyIDLuFY0pSucz8F3Ta7aVZZi4zFs3ggwtzMU2/mS87R8O00fGYI1X2xcSTU26BTMrOGgMyUM0NSmCwsLUoJ2fR0VOAkQkRf6kowvGZ4VTEwUZ6oifzP/QKb0MEURgLNlyqwz2DIPUmQF59XKm37GBt5LQRX8pkvKmFcBrSwsf7PikOhIW3NPAwmySA5BbBpcJIxet/q5qeG1bJfNuLZweBN5FTQCC24VYL7sXnzxMXfl6j9gnxmAcwvDfUl8vgMA8tDwoNtF7gaZ+ca1dUQKN+FyO+1Ona6ibTaglfewLYy0MgCHzlcqsR6JLv5eYRUdsO/uTgnyqYxq2GNuBxJjdx2rcNWwFjYWPOK0tH54MgjmkaGzcu8yYom5ok+B8qoqx1KXZUROWZRoxOW/O4rMyAJbltY9CpjbATkmJcoM1M3IucfI+At7NdlraWnJ/cVf/IUYgSbA1fZjY3oXmme7hED3UsCYj+cVv7HvNNp/tGazVQ6S/SUSx3obItBlHz5EKRruC4eLPu7xnYUjAIESAVqzOgTg3sUnx+WnsbdP/pZnL3Jdv9dRg6mc1PXT7saNH7qLF78PeXMJlZyW0HG20SlRqwKeiZHhXgz/g2J43ZrdcNdvrruZW1vwQNyJ0mPswJu4t10AGvXgmEAvq20xU44dn6UICHjWJuHUK3gj4AXZ3hl2WxsTopsdVvAiO/f0DruJU2fhARnHeTmDhVWWlJeZhkpjlKSR9coDXisMhN/lyY5OP887TwKUVARBJ2wnVWJmbgNmbqiVfJTpyJYE8yOPPBItYGP5tSYNyMhhDWNjdmNggoYPj4CVz2T6D5eEAKv6Wc78fHcHkgYFXrhcGFlcwIebFBcdAMsCKgQxf+iyYoIN2Z+jgKxH7UcUc8GZVo47oDJZ1vAmC0kKs+laLs0mE4xeQVLQN92rr/wTdlpE79iEocUqSdDYqI462N+NJZSHRcPOL+64G9DM0zMw9vqRQDTBEWoT97EPicFgiYKZGp4VO6nRee00BhG/ge4GmBvjqNbUj2lYkBl1RBmxchecjzDwRlHw5g6MAvBqQK4wbZTtKfeCYjv0dHDkSr/yWK6Tz9tt005itAJxGsi2bTtPhm0XgDm/boYB2RJueHAy8+rKqvubr31N/LEmKULdbOAN1+qwDC91I3HYV/YTLvb62HQ296O82EaG2hqsIQ7/ZC1hccoAATOkBsvn4qH1IfFmCFY+a8zpjGbV5gZelegqNUIgh+wcNqCCQt2M7DyN5jZ08BKifj9xzz/3DbgDX4E+pleG17aODsjKpU03BDCPjjAPowh5seNuTm2CmTfBpKfd2DgKuVS30eGolwFm3A/BzBagrCqDWXtguJVwXwhAogODOKCTCeat9QmooHFh5gZ8yQrmO2FwMtjCpCKtnsQhxcBMydUJmFsZeOk26YShuU1a2oSGaB6oQ0Lh353IIztWbADmZc151xo3JIBtSCYzr8GD8IUvfhGNDd8u6wZzSTPRxjrp0vSySQUDvM1dk4iVRf5wHvqdZUkHhJIZVtbEn5osFMkAi6z7B9DS0DNdT6+GLDpvYIYngdlksgSCL5piMiNmZoskBqCOWtfrDe8bV2DYVDGUAFu74V7AClsXX/wWML4EfQwtz0w4hwr5cLFV4ZkYHuyBXxk+YcwemVvYcpMA8/QMdDLC3SNjrN+8A6OtCUCTmWG0coUAHIFRvC6AmS41uvZ2sZrdzg6WU94fRZL/gMiMBsBcQAF35M1hJBoB059FBx5B51Uwc4lntV2MmVVmhMBoB+5OJEin22SB8SiauR2j8/sOwOwTf2gAem+G+Y7pzfjKV78qvmJbWkwDE7pun7nILIxMVtZ6chwO1RBTOaGl7ZnYw1DyOnIabP09dqA1hJW3AWhKEB6fcsKmAxHUPB7BOzA4IMEEVtRk9M8My67I06Ikq4MBAR2C2Q/PfsRQWWHC2eY8roJhf+ae/unfIeXzSZyDC2nCf1YAkBH86OqqKzMPIAkInaqJ488vbLubWO+QYK5W4UobRR2M7l1cYxP7Y2oTOqKAGaei3q1UoHVx7WV8zrnCWHAL7TIOtyMXNzqFzj0MmUFvRhX7j2ClrDMA87C48ygztP2ZOYeafWBr7fj5r05AGbJspyyd1rrhfga6w16Xdcqs/RI2WW4+cxC9M19mvdbA8IdlILDQzd987W/g3N+W46v/N1xGwhtSAh5/Cd6oEp+oTNr0/l56GFRt+EiWBmLMSBQgMwcB23FJNTK2fM9l12RKPR4u5AXXjKbU6KMlD0CoZ0S9GjSMJOrnPTZJQ1UNPTNgWVeDc/SsiA0rmm5szrtr15+DXv42MuYu4F6x0I9b0Uy6bqjYLnhYkBox2FsFMw+KF4GamWCeAZjLFYIZzAw3HsHcTzDDIyPeDGhkNkG5XBSZVAIwRTPvwmZA9G99Y8Btg5nrdaSSsvAkAN3Xp2AeGBjCfpitDYAzfK3LN6ODQ0fnGYBZAO0UtOnt2hl97TwRWUydJy+yto20sgdZfnK+lxm2g4aitZYEXXOf+tSnpGInURC74mKfs4KVBbv9ZE0f8FBG5jJouhSY6Ngo30K1kgLLz1KW/fFg0YnWEZljBllFchIIAlruiPThh2Vshz07C5g5EtBP7TuLubY9dAVw6uOIPRp6rzq3T0DNcAmS8RcWrrtXLj3ppiafxkLvL0qeRblrE+AEKAHMLrjXqmDmfoB5aAhToXBdBDNlxpQH89gYmReh7z4u3QaWpm+Z94B/ZOYqdAoN2iKr8u9xqQqCeQJgHnbbmwAz9HMTyzcXYAT29RPMpzXSByCXuIYMwKwdmHKMrrnWzByyXCe6OYuZs4w+A3w7ILdi27DTZB0nDexYZmDltFzap/0jAFbvA1jcl7Pddn/+538O1xR8pIo89d8KNoyK9aj6kWpVW2JXvB5kaJk67xOHBNy6jxmOAnaCGQ+bo8AisuN295DTAB+qgdn8zSxUPoQhnlJDdDOLpvgJoQZkPb43OkMw+8sWcSHlE7Q8bxFJ+ZQ6V69dcJde+xGkA5aKW3lJ0jd7e3AdMOR6enkvZGfMJ0FYmwYgjVOC+frNNQB6A51vHAYg1tfq3QcAkcYJNqfEKEtkUxffIZi7oKMJ5mYDPmaAeXt3Ankno5jZQm8GooCc9ApmHhgYwYoDTDntFyAzlK1TqWi7VHFt+a65rGd9XDC38mSE37Vi1/R1dWIAHmDmqNZc6mj6YPF/CyJ4yDO7jMk9X/ryl7GGNrPINCghYPVyQ0LP4nIzg8uXnfLfU2aYdpZ9/JIL5q1gz2Dn4fklKxr4Yy4Iw9bMYaIvVoqiwFii0UlA0/jjD8HM37LqlYEZIGbWm/Yz84OL6RWzM8ccKTWmpQAY9aN/eXpmyv3s5Sfd3PwFuOZehvGLRCEEP/oQxsYpkK9M9keaKM4x2NcNXzPzM6rizbh2Yw0ejVUB8ym45voQ/u7FfgpmMjM1Lq+H65DQgGbUjrNhEIquVxEwOSNg3tk6A5kBPzOYuQjm7UeaqYAZmXMaxtZSXmxTaug+JD61YuYQVHnsehjQ53kv0p3kqGDW0TpJknZ9Cc0MpovC2Tr93UfEdBxQTwYNNa95GRCgdv3u976niTgyFd6YV+sV24lFTtCH7Id6dY/p9xo51EvSkLHmM/P4/OHMD+pWbkfvBg1EWflUku91GTHWh1C/MtgIWpmZcv2Iwg2CpfvgMhBvikkZ3Jm6BVXCKIhs4XW9CinkgkZgwnutvodMulX32uXX3KVXn0ZexTUA6xKShV4GA4KZ4ZkgAJmTwcmqLC7E8m4cHcpY02V1peGmbiI/Y2bNdVXH3OkzlAc1AJk/8EnIylHsZMw2BJh7kHeBAAhzM/b3kGhUx9IQdYB5EzJjg4lGY7htLjdXcUPImhsfh8wAaEsAODsA/6nhzaxBBpA4d1ABkGbHwzBxuH87jWwAO4zuVZglS/mmrzmP3Q8ws4FZi8zKsxRwEbt0mYknw+cosLHo/2UF0O985zvSWDa8yYI03r8b+Z4BllAbq3dDKgF6na1eBaVMZtIxiWlXkuM3oI+Zlknvxi60OYuryJw88RWz09A1p/qQXo1uSAuCeQArNxHM/f00BOE9YTksdWp7I1BBLAwtqliB7Puu1JPTgugNGG9T7vyF85iF/SraZQ7XddmtrL2KToJkIQ/m3m54ESpsBxwDaaI9iEJCESPQ4dzCLdSxRji70otcitO4VmTZ9XRTZmB7ViQCnbPIC8t7sd44k42amC3CaVQFh+T82jhmfA+53S0mdjC9FN4MGHhDmGVCZu7tHcQ9YUeAuUTjkP8wR7F/gJFRGKKSeJRUke2Ak2bkVsN93nf8vBOtmz5X+P4wx4hAvYs5gAXSuGflqKAn8EUf7z4AxgiVpn8yd8EheXzNPf7YowICWzlUgMyhU/zM/rdnRSv6J8AWRqYEid1jMt0J/7iKFY1L5hXzRLICk19UnSBmTgY7jxlulBtkZRqEdEWJmw5gVqmh6+tJNNCf10PWG5deYvjRi9lx2q+gliEvuMzFlSuX3aVLr2JEWBCdvL4+iSQrrBVeW0ZHQoJRD8/J+2bdN3QWAJrelWYdGn8TK74so/TvNli3fxzuQ4J2C/vBUOzT6J9eGzsZM+e0Dl2jAb9+jWVuMZm1OSzTpvaRedfA5NYCgNsF+h+CL5vRvyq8FkxQ4n4OjL63y4m4NUQhR3H/6lXp5JVnrLVy32UBOU9upBm0HYjTDJ/ePldygPU8OQklxz41/omnS80q+haAkGR8gHp6asr9r//5CeQLsHgi20wR4aemSog2SgQnP3i/rm7EZHjZS/Zj55DZHPiE0mJ7h0EIGkFa401sS5/Ezzf0TvAz5u9r0UJzCapmtJkXkiHn5YwtqiM1kPWK/QDsmVlcfVZyFiwJxmRH4gRXXhMTjRhgK2L+X6OO+X34KRWZ7cb7pueDRRWRIov3kqIKjwusNWS6FUEG6HwoF1Aq7WLk2RQWZrZcgWW5cH9qAHM9Qb0yyqgGFvx0mNzq6FfGOooFzAdE+pA4yhF3pMqS0YhVkKSyKIK49f0iOsmwe+eDD7hff8+vQ6NPyIiX5/6yz0MAZmlp+z70amWBLa29O2Xm9PUdRsMfAPkT3/2eLJ2mPEVA++Io+K11fmFh+0AI2ZF6jEt8zU5PgoG0cj6RIXuHw4s8K1+KysNHdSo/D40wy5vm5xqwkM4RjY4cNbSakO9twuocWmVCipcdAmzsRP0ZBj60PLSnX78IpJbN0peOwvpeh2BdzFOvU1NAGYiogzHZEUsEHgBZxNLLXL9FSnRxFMNxLBPQ3ILq6cGi75yfhxneZGDeC8Yn7K8gVAOGPZrHs0vhWijM29bPqJ8bnKwKf3YTnyHlSdpbKovyf7KyF92dDNqMyMztCuSPPJcUoPP0c9rISg/zrcCcpaWPCuZ0R8kbNdJA5vv/D4aG5xdWKTbOAAAAAElFTkSuQmCC">
          <a:extLst>
            <a:ext uri="{FF2B5EF4-FFF2-40B4-BE49-F238E27FC236}">
              <a16:creationId xmlns:a16="http://schemas.microsoft.com/office/drawing/2014/main" id="{49D899AC-43EE-4673-BD9A-982D084E7359}"/>
            </a:ext>
          </a:extLst>
        </xdr:cNvPr>
        <xdr:cNvSpPr/>
      </xdr:nvSpPr>
      <xdr:spPr>
        <a:xfrm>
          <a:off x="0" y="100012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azio%20Vitale/Documents/MIGUEL%20ANGEL%20AGREDA%20CERON/PC%20-%20-%20-%20-%20COMERCIAL%20-%20-%20-%20-/COTIZACIONES/0864%20CAMILO%20ROSALES/COTIZACION%20339%20SV%20CAMILO%20ROSALES%20-%20SAM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izador Fabricantes"/>
      <sheetName val="base 2021"/>
      <sheetName val="cotizador_Fabricantes1"/>
      <sheetName val="base_20211"/>
      <sheetName val="cotizador_Fabricantes"/>
      <sheetName val="base_2021"/>
      <sheetName val="cotizador_Fabricantes2"/>
      <sheetName val="base_20212"/>
    </sheetNames>
    <sheetDataSet>
      <sheetData sheetId="0"/>
      <sheetData sheetId="1">
        <row r="2">
          <cell r="A2">
            <v>1161010112</v>
          </cell>
          <cell r="B2">
            <v>9091771</v>
          </cell>
          <cell r="C2" t="str">
            <v>BISAGRA SENSYS 8645I 110° CLIP PARCHE /TARUGO OBSIDIAN BLACK</v>
          </cell>
          <cell r="D2" t="str">
            <v>UNIDAD</v>
          </cell>
          <cell r="E2">
            <v>20566.844928000002</v>
          </cell>
        </row>
        <row r="3">
          <cell r="A3">
            <v>1161010113</v>
          </cell>
          <cell r="B3">
            <v>9091789</v>
          </cell>
          <cell r="C3" t="str">
            <v>BISAGRA SENSYS 165° CLIP PARCHE/TARUGO OBSIDIAN BLACK</v>
          </cell>
          <cell r="D3" t="str">
            <v>UNIDAD</v>
          </cell>
          <cell r="E3">
            <v>43987.991040000001</v>
          </cell>
        </row>
        <row r="4">
          <cell r="A4">
            <v>1161010114</v>
          </cell>
          <cell r="B4">
            <v>9091780</v>
          </cell>
          <cell r="C4" t="str">
            <v>BISAGRA SENSYS 95° CLIP FALSO RINCON OBSIDIAN BLACK</v>
          </cell>
          <cell r="D4" t="str">
            <v>UNIDAD</v>
          </cell>
          <cell r="E4">
            <v>44712.783360000001</v>
          </cell>
        </row>
        <row r="5">
          <cell r="A5">
            <v>1161010115</v>
          </cell>
          <cell r="B5">
            <v>9091816</v>
          </cell>
          <cell r="C5" t="str">
            <v>BASE RECTA SENSYS 8099  OBSIDIAN BLACK</v>
          </cell>
          <cell r="D5" t="str">
            <v>UNIDAD</v>
          </cell>
          <cell r="E5">
            <v>6307.4188800000002</v>
          </cell>
        </row>
        <row r="6">
          <cell r="A6">
            <v>1161010116</v>
          </cell>
          <cell r="B6">
            <v>9091821</v>
          </cell>
          <cell r="C6" t="str">
            <v>TAPA EMBELLECEDORA BISAGRA OBSIDIAN BLACK</v>
          </cell>
          <cell r="D6" t="str">
            <v>UNIDAD</v>
          </cell>
          <cell r="E6">
            <v>938.77862399999992</v>
          </cell>
        </row>
        <row r="7">
          <cell r="A7">
            <v>1161010117</v>
          </cell>
          <cell r="B7">
            <v>9091822</v>
          </cell>
          <cell r="C7" t="str">
            <v>TAPA EMBELLECEDORA CAZOLETA OBSIDIAN BLACK</v>
          </cell>
          <cell r="D7" t="str">
            <v>UNIDAD</v>
          </cell>
          <cell r="E7">
            <v>1202.8101120000001</v>
          </cell>
        </row>
        <row r="8">
          <cell r="A8">
            <v>1161010118</v>
          </cell>
          <cell r="B8" t="str">
            <v>  9091800</v>
          </cell>
          <cell r="C8" t="str">
            <v>BASE BISAGRA SENSYS  OBSIDIAN BLACK 1,5 DMM (para taladro 5 ø X 12mm)</v>
          </cell>
          <cell r="D8" t="str">
            <v>UNIDAD</v>
          </cell>
          <cell r="E8">
            <v>2196.8110080000001</v>
          </cell>
        </row>
        <row r="9">
          <cell r="A9">
            <v>1101010097</v>
          </cell>
          <cell r="B9">
            <v>9085168</v>
          </cell>
          <cell r="C9" t="str">
            <v>BISAGRA SENSYS 86391 W45 95° RECTA TH 52     NEW</v>
          </cell>
          <cell r="D9" t="str">
            <v>UNIDAD</v>
          </cell>
          <cell r="E9">
            <v>23135.112000000005</v>
          </cell>
        </row>
        <row r="10">
          <cell r="A10">
            <v>1161010072</v>
          </cell>
          <cell r="C10" t="str">
            <v>BISAGRA SENSYS 110° CLIP PARCHE /TARUGO TH 53</v>
          </cell>
          <cell r="D10" t="str">
            <v>UNIDAD</v>
          </cell>
          <cell r="E10">
            <v>14600.620799999999</v>
          </cell>
        </row>
        <row r="11">
          <cell r="A11" t="str">
            <v>1161010011</v>
          </cell>
          <cell r="C11" t="str">
            <v>BISAGRA SENSYS 110° CLIP SEMIPARCHE/TARUGO TH 53</v>
          </cell>
          <cell r="D11" t="str">
            <v>UNIDAD</v>
          </cell>
          <cell r="E11">
            <v>15492.743999999999</v>
          </cell>
        </row>
        <row r="12">
          <cell r="A12" t="str">
            <v>1161010013</v>
          </cell>
          <cell r="C12" t="str">
            <v>BISAGRA SENSYS 110° CLIP EMBEBIDA/TARUGO TH 53</v>
          </cell>
          <cell r="D12" t="str">
            <v>UNIDAD</v>
          </cell>
          <cell r="E12">
            <v>16383.3264</v>
          </cell>
        </row>
        <row r="13">
          <cell r="A13">
            <v>1101010080</v>
          </cell>
          <cell r="C13" t="str">
            <v>BISAGRA SENSYS 95° 8631i  ( 15 - 32 mm)</v>
          </cell>
          <cell r="D13" t="str">
            <v>UNIDAD</v>
          </cell>
          <cell r="E13">
            <v>17278.531200000001</v>
          </cell>
        </row>
        <row r="14">
          <cell r="A14">
            <v>1161010062</v>
          </cell>
          <cell r="C14" t="str">
            <v>BISAGRA SENSYS 95° CLIP FALSO RINCON</v>
          </cell>
          <cell r="D14" t="str">
            <v>UNIDAD</v>
          </cell>
          <cell r="E14">
            <v>31144.190400000003</v>
          </cell>
        </row>
        <row r="15">
          <cell r="A15">
            <v>1101010088</v>
          </cell>
          <cell r="B15">
            <v>9071316</v>
          </cell>
          <cell r="C15" t="str">
            <v>BISAGRA SENSYS 8675 SIN CIERRE AUTOMATICO   NEW</v>
          </cell>
          <cell r="D15" t="str">
            <v>UNIDAD</v>
          </cell>
          <cell r="E15">
            <v>15562.08</v>
          </cell>
        </row>
        <row r="16">
          <cell r="A16">
            <v>1161010009</v>
          </cell>
          <cell r="C16" t="str">
            <v>BASE BISAGRA SENSYS 1,5 DMM TACOS EXPANDIBLES Y TORNILLOS</v>
          </cell>
          <cell r="D16" t="str">
            <v>UNIDAD</v>
          </cell>
          <cell r="E16">
            <v>1799.6544000000001</v>
          </cell>
        </row>
        <row r="17">
          <cell r="A17" t="str">
            <v>1101010089</v>
          </cell>
          <cell r="C17" t="str">
            <v>BASE BISAGRA SENSYS 5,0 DMM TACOS EXPANDIBLES Y TORNILLOS</v>
          </cell>
          <cell r="D17" t="str">
            <v>UNIDAD</v>
          </cell>
          <cell r="E17">
            <v>2885.9184</v>
          </cell>
        </row>
        <row r="18">
          <cell r="A18">
            <v>1161010090</v>
          </cell>
          <cell r="C18" t="str">
            <v>SUPLEMENTO  RECTO MONTAJE DIRECTO  PARA TALADRO  10X12 (BASE BISAGRA SENSYS 3.0 MM TACOS EXPANDIBLES Y TORNILLOS)</v>
          </cell>
          <cell r="D18" t="str">
            <v>UNIDAD</v>
          </cell>
          <cell r="E18">
            <v>5461.827839999999</v>
          </cell>
        </row>
        <row r="19">
          <cell r="A19">
            <v>1101010099</v>
          </cell>
          <cell r="C19" t="str">
            <v>BISAGRA SENSYS 165° 8657i SEMI PARCHE CON SILENT SYSTEM INTEGRADO</v>
          </cell>
          <cell r="D19" t="str">
            <v>UNIDAD</v>
          </cell>
          <cell r="E19">
            <v>32680.367999999999</v>
          </cell>
        </row>
        <row r="20">
          <cell r="A20">
            <v>1101010055</v>
          </cell>
          <cell r="C20" t="str">
            <v xml:space="preserve">BISAGRA SENSYS 165° 8657i CON SILENT SYSTEM INTEGRADO </v>
          </cell>
          <cell r="D20" t="str">
            <v>UNIDAD</v>
          </cell>
          <cell r="E20">
            <v>35178.312960000003</v>
          </cell>
        </row>
        <row r="21">
          <cell r="A21" t="str">
            <v>1161010005</v>
          </cell>
          <cell r="C21" t="str">
            <v>BISAGRA INTERMAT 110° CLIP PARCHE NEGATIVA</v>
          </cell>
          <cell r="D21" t="str">
            <v>UNIDAD</v>
          </cell>
          <cell r="E21">
            <v>5411.7826560000003</v>
          </cell>
        </row>
        <row r="22">
          <cell r="A22" t="str">
            <v>1161010064</v>
          </cell>
          <cell r="C22" t="str">
            <v>BISAGRA INTERMAT 110° CLIP EMBEBIDA NEGATIVA</v>
          </cell>
          <cell r="D22" t="str">
            <v>UNIDAD</v>
          </cell>
          <cell r="E22">
            <v>9234.1992960000007</v>
          </cell>
        </row>
        <row r="23">
          <cell r="A23" t="str">
            <v>1161010042</v>
          </cell>
          <cell r="C23" t="str">
            <v>BISAGRA INTERMAT 50°/65° CLIP ESQUINERA TH 42</v>
          </cell>
          <cell r="D23" t="str">
            <v>UNIDAD</v>
          </cell>
          <cell r="E23">
            <v>14733.333333333334</v>
          </cell>
        </row>
        <row r="24">
          <cell r="A24" t="str">
            <v>1161010004</v>
          </cell>
          <cell r="C24" t="str">
            <v>BISAGRA INTERMAT 165° CLIP PARCHE NEGATIVA</v>
          </cell>
          <cell r="D24" t="str">
            <v>UNIDAD</v>
          </cell>
          <cell r="E24">
            <v>22826.666666666668</v>
          </cell>
        </row>
        <row r="25">
          <cell r="A25" t="str">
            <v>1161010066</v>
          </cell>
          <cell r="C25" t="str">
            <v>BISAGRA SENSYS 98° AMORTIGUADOR PERFIL ALUMINIO (NEW)</v>
          </cell>
          <cell r="D25" t="str">
            <v>UNIDAD</v>
          </cell>
          <cell r="E25">
            <v>35480</v>
          </cell>
        </row>
        <row r="26">
          <cell r="A26" t="str">
            <v>1161010007</v>
          </cell>
          <cell r="C26" t="str">
            <v>BISAGRA INTERMAT 95° CLIP PARCHE MOLDURA 43MM</v>
          </cell>
          <cell r="D26" t="str">
            <v>UNIDAD</v>
          </cell>
          <cell r="E26">
            <v>16653.333333333332</v>
          </cell>
        </row>
        <row r="27">
          <cell r="A27" t="str">
            <v>1101010083</v>
          </cell>
          <cell r="C27" t="str">
            <v>BISAGRA INTERMAT 95° CLIP SEMIPARCHE MOLDURA 43MM</v>
          </cell>
          <cell r="D27" t="str">
            <v>UNIDAD</v>
          </cell>
          <cell r="E27">
            <v>17280</v>
          </cell>
        </row>
        <row r="28">
          <cell r="A28" t="str">
            <v>1101010084</v>
          </cell>
          <cell r="C28" t="str">
            <v>BISAGRA INTERMAT 95° CLIP EMBEBIDA MOLDURA 43MM</v>
          </cell>
          <cell r="D28" t="str">
            <v>UNIDAD</v>
          </cell>
          <cell r="E28">
            <v>17280</v>
          </cell>
        </row>
        <row r="29">
          <cell r="A29">
            <v>1101010090</v>
          </cell>
          <cell r="C29" t="str">
            <v>LIMITADOR DE APERTURA SENSYS 8657i</v>
          </cell>
          <cell r="D29" t="str">
            <v>UNIDAD</v>
          </cell>
          <cell r="E29">
            <v>2224.4221439999997</v>
          </cell>
        </row>
        <row r="30">
          <cell r="A30">
            <v>1161010010</v>
          </cell>
          <cell r="B30">
            <v>9082774</v>
          </cell>
          <cell r="C30" t="str">
            <v>EMBELLECEDOR BISAGRA SENSYS LOGOTIPO HETTICH</v>
          </cell>
          <cell r="D30" t="str">
            <v>UNIDAD</v>
          </cell>
          <cell r="E30">
            <v>724.79232000000002</v>
          </cell>
        </row>
        <row r="31">
          <cell r="A31">
            <v>1101010070</v>
          </cell>
          <cell r="B31">
            <v>9082614</v>
          </cell>
          <cell r="C31" t="str">
            <v>EMBELLECEDOR TAPA CAZOLETA</v>
          </cell>
          <cell r="D31" t="str">
            <v>UNIDAD</v>
          </cell>
          <cell r="E31">
            <v>930.15014400000007</v>
          </cell>
        </row>
        <row r="32">
          <cell r="A32">
            <v>1161010010</v>
          </cell>
          <cell r="B32">
            <v>9082774</v>
          </cell>
          <cell r="C32" t="str">
            <v>EMBELLECEDOR BISAGRA SENSYS LOGOTIPO HETTICH</v>
          </cell>
          <cell r="D32" t="str">
            <v>UNIDAD</v>
          </cell>
          <cell r="E32">
            <v>724.79232000000002</v>
          </cell>
        </row>
        <row r="33">
          <cell r="A33">
            <v>1161010015</v>
          </cell>
          <cell r="B33">
            <v>9084643</v>
          </cell>
          <cell r="C33" t="str">
            <v>AMORTIGUADOR BISAGRA SENSYS 165°</v>
          </cell>
          <cell r="D33" t="str">
            <v>UNIDAD</v>
          </cell>
          <cell r="E33">
            <v>23557.476095999999</v>
          </cell>
        </row>
        <row r="34">
          <cell r="A34">
            <v>1101010091</v>
          </cell>
          <cell r="C34" t="str">
            <v>ADAPTADOR SENSYS PUERTAS EN CRISTAL</v>
          </cell>
          <cell r="E34">
            <v>31580.236799999999</v>
          </cell>
        </row>
        <row r="35">
          <cell r="A35">
            <v>1101010010</v>
          </cell>
          <cell r="B35" t="str">
            <v>107866004-1</v>
          </cell>
          <cell r="C35" t="str">
            <v>BISAGRA SLIDE ON 95° PARCHE</v>
          </cell>
          <cell r="D35" t="str">
            <v>KIT</v>
          </cell>
          <cell r="E35">
            <v>2665.3333333333335</v>
          </cell>
        </row>
        <row r="36">
          <cell r="A36">
            <v>1101010011</v>
          </cell>
          <cell r="B36" t="str">
            <v>1078661-1</v>
          </cell>
          <cell r="C36" t="str">
            <v>BISAGRA SLIDE ON 95° SEMIPARCHE</v>
          </cell>
          <cell r="D36" t="str">
            <v>KIT</v>
          </cell>
          <cell r="E36">
            <v>3038.6666666666665</v>
          </cell>
        </row>
        <row r="37">
          <cell r="A37">
            <v>1101010009</v>
          </cell>
          <cell r="B37" t="str">
            <v>107866204-1</v>
          </cell>
          <cell r="C37" t="str">
            <v>BISAGRA SLIDE ON 95° EMBEBIDA</v>
          </cell>
          <cell r="D37" t="str">
            <v>KIT</v>
          </cell>
          <cell r="E37">
            <v>3038.6666666666665</v>
          </cell>
        </row>
        <row r="38">
          <cell r="A38">
            <v>1161010068</v>
          </cell>
          <cell r="B38" t="str">
            <v>40115000YA-1</v>
          </cell>
          <cell r="C38" t="str">
            <v>BISAGRA KIMANA PARA PUERTAS ABATIBLES</v>
          </cell>
          <cell r="D38" t="str">
            <v>KIT</v>
          </cell>
          <cell r="E38">
            <v>24381.619199999997</v>
          </cell>
        </row>
        <row r="39">
          <cell r="A39">
            <v>1161010060</v>
          </cell>
          <cell r="B39" t="str">
            <v>40115360YA</v>
          </cell>
          <cell r="C39" t="str">
            <v>DISTANCIADOR BISAGRA KIMANA H.3MM NICKEL</v>
          </cell>
          <cell r="D39" t="str">
            <v>UNIDAD</v>
          </cell>
          <cell r="E39">
            <v>1741.1040000000003</v>
          </cell>
        </row>
        <row r="40">
          <cell r="A40">
            <v>1161010061</v>
          </cell>
          <cell r="B40" t="str">
            <v>40115400YA</v>
          </cell>
          <cell r="C40" t="str">
            <v>DISTANCIADOR BISAGRA KIMANA H.4MM NICKEL</v>
          </cell>
          <cell r="D40" t="str">
            <v>UNIDAD</v>
          </cell>
          <cell r="E40">
            <v>2069.2944000000002</v>
          </cell>
        </row>
        <row r="41">
          <cell r="A41">
            <v>1161910116</v>
          </cell>
          <cell r="B41">
            <v>60581</v>
          </cell>
          <cell r="C41" t="str">
            <v>AMORTIGUADOR DE CAZOLETA</v>
          </cell>
          <cell r="D41" t="str">
            <v>UNIDAD</v>
          </cell>
          <cell r="E41">
            <v>11425.031999999999</v>
          </cell>
        </row>
        <row r="42">
          <cell r="A42">
            <v>1111010025</v>
          </cell>
          <cell r="B42">
            <v>60579</v>
          </cell>
          <cell r="C42" t="str">
            <v xml:space="preserve">AMORTIGUADOR UNIVERSAL </v>
          </cell>
          <cell r="D42" t="str">
            <v>UNIDAD</v>
          </cell>
          <cell r="E42">
            <v>14933.333333333334</v>
          </cell>
        </row>
        <row r="43">
          <cell r="A43">
            <v>1101210026</v>
          </cell>
          <cell r="B43">
            <v>60230</v>
          </cell>
          <cell r="C43" t="str">
            <v>SISTEMA PUSH TO OPEN DE TALADRAR MAGNETICO PARA PUERTAS HASTA 900MM</v>
          </cell>
          <cell r="D43" t="str">
            <v>UNIDAD</v>
          </cell>
          <cell r="E43">
            <v>8491.3488000000016</v>
          </cell>
        </row>
        <row r="44">
          <cell r="A44">
            <v>1101210029</v>
          </cell>
          <cell r="B44">
            <v>60232</v>
          </cell>
          <cell r="C44" t="str">
            <v>SISTEMA PUSH TO OPEN DE SOBREPONER DE PIN PARA PUERTAS HASTA 2400MM</v>
          </cell>
          <cell r="D44" t="str">
            <v>UNIDAD</v>
          </cell>
          <cell r="E44">
            <v>18643.68</v>
          </cell>
        </row>
        <row r="45">
          <cell r="A45">
            <v>1161210079</v>
          </cell>
          <cell r="B45" t="str">
            <v>57008040IJ</v>
          </cell>
          <cell r="C45" t="str">
            <v xml:space="preserve">K-PUSH TECH  UNIVERSAL REG. 37MM </v>
          </cell>
          <cell r="D45" t="str">
            <v>UNIDAD</v>
          </cell>
          <cell r="E45">
            <v>10177.7544</v>
          </cell>
        </row>
        <row r="46">
          <cell r="A46">
            <v>1161210081</v>
          </cell>
          <cell r="B46" t="str">
            <v>57008080IJ</v>
          </cell>
          <cell r="C46" t="str">
            <v>K-PUSH TECH UNIVERSAL STRONG REG. 37MM</v>
          </cell>
          <cell r="D46" t="str">
            <v>UNIDAD</v>
          </cell>
          <cell r="E46">
            <v>11016.72</v>
          </cell>
        </row>
        <row r="47">
          <cell r="A47">
            <v>1161210084</v>
          </cell>
          <cell r="B47" t="str">
            <v>57008040IJ-1</v>
          </cell>
          <cell r="C47" t="str">
            <v xml:space="preserve">KIT K-PUSH TECH UNIVERSAL REG. 37MM </v>
          </cell>
          <cell r="D47" t="str">
            <v>KIT</v>
          </cell>
          <cell r="E47">
            <v>11615.012640000001</v>
          </cell>
        </row>
        <row r="48">
          <cell r="A48">
            <v>1161210085</v>
          </cell>
          <cell r="B48" t="str">
            <v>57008080IJ-1</v>
          </cell>
          <cell r="C48" t="str">
            <v xml:space="preserve">KIT K-PUSH TECH UNIVERSAL STRONG REG.37MM </v>
          </cell>
          <cell r="D48" t="str">
            <v>KIT</v>
          </cell>
          <cell r="E48">
            <v>12452.283359999999</v>
          </cell>
        </row>
        <row r="49">
          <cell r="A49">
            <v>1161210086</v>
          </cell>
          <cell r="B49" t="str">
            <v>57008020IJ-1</v>
          </cell>
          <cell r="C49" t="str">
            <v>KIT K-PUSH TECH UNIVERSAL REG.37MM MAGNETICO</v>
          </cell>
          <cell r="D49" t="str">
            <v>KIT</v>
          </cell>
          <cell r="E49">
            <v>14009.878080000002</v>
          </cell>
        </row>
        <row r="50">
          <cell r="A50">
            <v>1161210092</v>
          </cell>
          <cell r="B50" t="str">
            <v>57004020IJ-1</v>
          </cell>
          <cell r="C50" t="str">
            <v>KIT K-PUSH TECH UNIVERSAL REG.20MM MAGNETICO</v>
          </cell>
          <cell r="D50" t="str">
            <v>KIT</v>
          </cell>
          <cell r="E50">
            <v>13409.890559999998</v>
          </cell>
        </row>
        <row r="51">
          <cell r="A51">
            <v>1161210087</v>
          </cell>
          <cell r="B51" t="str">
            <v>57008020IJ-2</v>
          </cell>
          <cell r="C51" t="str">
            <v>KIT K-PUSH TECH DE TALADRAR REG. 37MM MAGNETICO</v>
          </cell>
          <cell r="D51" t="str">
            <v>KIT</v>
          </cell>
          <cell r="E51">
            <v>12572.619840000001</v>
          </cell>
        </row>
        <row r="52">
          <cell r="A52">
            <v>1161210093</v>
          </cell>
          <cell r="B52" t="str">
            <v>57004020IJ-2</v>
          </cell>
          <cell r="C52" t="str">
            <v>KIT K-PUSH TECH DE TALADRAR REG. 20MM MAGNETICO</v>
          </cell>
          <cell r="D52" t="str">
            <v>KIT</v>
          </cell>
          <cell r="E52">
            <v>11974.3272</v>
          </cell>
        </row>
        <row r="53">
          <cell r="A53">
            <v>1161210080</v>
          </cell>
          <cell r="B53" t="str">
            <v>57008040EE</v>
          </cell>
          <cell r="C53" t="str">
            <v>K-PUSH TECH  UNIVERSAL REG. 37MM  ANTHRACITE</v>
          </cell>
          <cell r="D53" t="str">
            <v>UNIDAD</v>
          </cell>
          <cell r="E53">
            <v>10177.7544</v>
          </cell>
        </row>
        <row r="54">
          <cell r="A54">
            <v>1161210082</v>
          </cell>
          <cell r="B54" t="str">
            <v>57008080EE</v>
          </cell>
          <cell r="C54" t="str">
            <v>K-PUSH TECH UNIVERSAL STRONG REG. 37MM ANTHRACITE</v>
          </cell>
          <cell r="D54" t="str">
            <v>UNIDAD</v>
          </cell>
          <cell r="E54">
            <v>11016.72</v>
          </cell>
        </row>
        <row r="55">
          <cell r="A55">
            <v>1161210088</v>
          </cell>
          <cell r="B55" t="str">
            <v>57008040EE-1</v>
          </cell>
          <cell r="C55" t="str">
            <v xml:space="preserve">KIT K-PUSH TECH UNIVERSAL REG. 37MM ANTHRACITE </v>
          </cell>
          <cell r="D55" t="str">
            <v>KIT</v>
          </cell>
          <cell r="E55">
            <v>11615.012640000001</v>
          </cell>
        </row>
        <row r="56">
          <cell r="A56">
            <v>1161210089</v>
          </cell>
          <cell r="B56" t="str">
            <v>57008080EE-1</v>
          </cell>
          <cell r="C56" t="str">
            <v xml:space="preserve">KIT K-PUSH TECH UNIVERSAL STRONG REG.37MM ANTHRACITE </v>
          </cell>
          <cell r="D56" t="str">
            <v>KIT</v>
          </cell>
          <cell r="E56">
            <v>12452.283359999999</v>
          </cell>
        </row>
        <row r="57">
          <cell r="A57">
            <v>1161210076</v>
          </cell>
          <cell r="B57" t="str">
            <v>57008020EE-1</v>
          </cell>
          <cell r="C57" t="str">
            <v>KIT K-PUSH TECH UNIVERSAL REG.37MM MAGNETICO ANTHRACITE</v>
          </cell>
          <cell r="D57" t="str">
            <v>KIT</v>
          </cell>
          <cell r="E57">
            <v>13150.573920000001</v>
          </cell>
        </row>
        <row r="58">
          <cell r="A58">
            <v>1161210094</v>
          </cell>
          <cell r="B58" t="str">
            <v>57004020IJ-1</v>
          </cell>
          <cell r="C58" t="str">
            <v>KIT K-PUSH TECH UNIVERSAL REG.20MM MAGNETICO ANTHRACITE</v>
          </cell>
          <cell r="D58" t="str">
            <v>KIT</v>
          </cell>
          <cell r="E58">
            <v>13060.745279999997</v>
          </cell>
        </row>
        <row r="59">
          <cell r="A59">
            <v>1161210091</v>
          </cell>
          <cell r="B59" t="str">
            <v>57008020EE-2</v>
          </cell>
          <cell r="C59" t="str">
            <v>KIT K-PUSH TECH DE TALADRAR REG. 37MM MAGNETICO ANTHRACITE</v>
          </cell>
          <cell r="D59" t="str">
            <v>KIT</v>
          </cell>
          <cell r="E59">
            <v>12033.648000000001</v>
          </cell>
        </row>
        <row r="60">
          <cell r="A60">
            <v>1161210095</v>
          </cell>
          <cell r="B60" t="str">
            <v>57004020EE-2</v>
          </cell>
          <cell r="C60" t="str">
            <v>KIT K-PUSH TECH DE TALADRAR REG. 20MM MAGNETICO ANTHRACITE</v>
          </cell>
          <cell r="D60" t="str">
            <v>KIT</v>
          </cell>
          <cell r="E60">
            <v>11974.3272</v>
          </cell>
        </row>
        <row r="61">
          <cell r="A61">
            <v>1111010003</v>
          </cell>
          <cell r="B61">
            <v>47451</v>
          </cell>
          <cell r="C61" t="str">
            <v>TORNILLO EURO 6,3X11</v>
          </cell>
          <cell r="D61" t="str">
            <v>UNIDAD</v>
          </cell>
          <cell r="E61">
            <v>207.08351999999999</v>
          </cell>
        </row>
        <row r="62">
          <cell r="A62">
            <v>1101010123</v>
          </cell>
          <cell r="B62">
            <v>45169</v>
          </cell>
          <cell r="C62" t="str">
            <v>TACO PLASTICO DE ø 10 x 11 mm PARA MONTAJE DIRECTO Y TORNILLO ø 10 x 11 mm</v>
          </cell>
          <cell r="D62" t="str">
            <v>UNIDAD</v>
          </cell>
          <cell r="E62">
            <v>465.32160000000005</v>
          </cell>
        </row>
        <row r="63">
          <cell r="A63">
            <v>1101910207</v>
          </cell>
          <cell r="B63" t="str">
            <v>9137807-1</v>
          </cell>
          <cell r="C63" t="str">
            <v>CAJON PANDO GRIS INNOTECH 470MM STOP CONTROL EXTR.PARL</v>
          </cell>
          <cell r="D63" t="str">
            <v>KIT</v>
          </cell>
          <cell r="E63">
            <v>116624.26137600001</v>
          </cell>
        </row>
        <row r="64">
          <cell r="A64">
            <v>1101910208</v>
          </cell>
          <cell r="B64" t="str">
            <v>9137807-2</v>
          </cell>
          <cell r="C64" t="str">
            <v>CAJON CACEROLERO GRIS INNOTECH 470MM STOP CONTROL EXTR.PARL</v>
          </cell>
          <cell r="D64" t="str">
            <v>KIT</v>
          </cell>
          <cell r="E64">
            <v>156727.71072</v>
          </cell>
        </row>
        <row r="65">
          <cell r="A65">
            <v>1101910094</v>
          </cell>
          <cell r="B65" t="str">
            <v>9104578-GR</v>
          </cell>
          <cell r="C65" t="str">
            <v>CAJON PANDO GRIS INNOTECH 350MM  SIL SYS EXTR.PARL</v>
          </cell>
          <cell r="D65" t="str">
            <v>KIT</v>
          </cell>
          <cell r="E65">
            <v>129000.95308799999</v>
          </cell>
        </row>
        <row r="66">
          <cell r="A66">
            <v>1101910096</v>
          </cell>
          <cell r="B66" t="str">
            <v>9104579-GR</v>
          </cell>
          <cell r="C66" t="str">
            <v>CAJON PANDO GRIS INNOTECH 420MM  SIL SYS EXTR.PARL</v>
          </cell>
          <cell r="D66" t="str">
            <v>KIT</v>
          </cell>
          <cell r="E66">
            <v>134600.83660799998</v>
          </cell>
        </row>
        <row r="67">
          <cell r="A67">
            <v>1102010040</v>
          </cell>
          <cell r="B67" t="str">
            <v>9104581-GR</v>
          </cell>
          <cell r="C67" t="str">
            <v>CAJON PANDO GRIS INNOTECH 470MM  SIL SYS EXTR.PARL</v>
          </cell>
          <cell r="D67" t="str">
            <v>KIT</v>
          </cell>
          <cell r="E67">
            <v>136141.88313599999</v>
          </cell>
        </row>
        <row r="68">
          <cell r="A68">
            <v>1101910071</v>
          </cell>
          <cell r="B68" t="str">
            <v>77906-30</v>
          </cell>
          <cell r="C68" t="str">
            <v>CAJON PANDO GRIS INNOTECH 300MM  SIL SYS EXTR.TOL</v>
          </cell>
          <cell r="D68" t="str">
            <v>KIT</v>
          </cell>
          <cell r="E68">
            <v>159000.45235200002</v>
          </cell>
        </row>
        <row r="69">
          <cell r="A69">
            <v>1101910068</v>
          </cell>
          <cell r="B69" t="str">
            <v>171062015-35</v>
          </cell>
          <cell r="C69" t="str">
            <v>CAJON PANDO GRIS INNOTECH 350MM  SIL SYS EXTR.TOL</v>
          </cell>
          <cell r="D69" t="str">
            <v>KIT</v>
          </cell>
          <cell r="E69">
            <v>162129.13920000001</v>
          </cell>
        </row>
        <row r="70">
          <cell r="A70">
            <v>1101910014</v>
          </cell>
          <cell r="B70" t="str">
            <v>77907-42</v>
          </cell>
          <cell r="C70" t="str">
            <v>CAJON PANDO GRIS INNOTECH 420MM  SIL SYS EXTR.TOL</v>
          </cell>
          <cell r="D70" t="str">
            <v>KIT</v>
          </cell>
          <cell r="E70">
            <v>166507.22995199999</v>
          </cell>
        </row>
        <row r="71">
          <cell r="A71">
            <v>1101910110</v>
          </cell>
          <cell r="B71" t="str">
            <v>77908-47</v>
          </cell>
          <cell r="C71" t="str">
            <v>CAJON PANDO GRIS INNOTECH 470MM  SIL SYS EXTR.TOL</v>
          </cell>
          <cell r="D71" t="str">
            <v>KIT</v>
          </cell>
          <cell r="E71">
            <v>169632.46540800002</v>
          </cell>
        </row>
        <row r="72">
          <cell r="A72">
            <v>1102010042</v>
          </cell>
          <cell r="B72" t="str">
            <v>9111236-GR</v>
          </cell>
          <cell r="C72" t="str">
            <v>CAJON PANDO GRIS INNOTECH 300MM  PUSH TO OPEN</v>
          </cell>
          <cell r="D72" t="str">
            <v>KIT</v>
          </cell>
          <cell r="E72">
            <v>210531.46060799996</v>
          </cell>
        </row>
        <row r="73">
          <cell r="A73">
            <v>1102010046</v>
          </cell>
          <cell r="B73" t="str">
            <v>9117451-GR</v>
          </cell>
          <cell r="C73" t="str">
            <v>CAJON PANDO GRIS INNOTECH 420MM  PUSH TO OPEN</v>
          </cell>
          <cell r="D73" t="str">
            <v>KIT</v>
          </cell>
          <cell r="E73">
            <v>218039.963904</v>
          </cell>
        </row>
        <row r="74">
          <cell r="A74">
            <v>1101910027</v>
          </cell>
          <cell r="B74" t="str">
            <v>9117452-GR</v>
          </cell>
          <cell r="C74" t="str">
            <v>CAJON PANDO GRIS INNOTECH 470MM  PUSH TO OPEN</v>
          </cell>
          <cell r="D74" t="str">
            <v>KIT</v>
          </cell>
          <cell r="E74">
            <v>221166.92505600001</v>
          </cell>
        </row>
        <row r="75">
          <cell r="A75">
            <v>1101910244</v>
          </cell>
          <cell r="B75" t="str">
            <v>1062019-3</v>
          </cell>
          <cell r="C75" t="str">
            <v>CAJON PANDO INTERNO GRIS INNOTECH 470MM  SIL SYS EXTR.PARCIAL</v>
          </cell>
          <cell r="D75" t="str">
            <v>KIT</v>
          </cell>
          <cell r="E75">
            <v>148002.591744</v>
          </cell>
        </row>
        <row r="76">
          <cell r="A76">
            <v>1101910066</v>
          </cell>
          <cell r="B76" t="str">
            <v>13389-42</v>
          </cell>
          <cell r="C76" t="str">
            <v>CAJON PANDO INTERNO GRIS INNOTECH 420MM SIL SYS EXTR.TOL</v>
          </cell>
          <cell r="D76" t="str">
            <v>KIT</v>
          </cell>
          <cell r="E76">
            <v>178367.93856000001</v>
          </cell>
        </row>
        <row r="77">
          <cell r="A77">
            <v>1101910051</v>
          </cell>
          <cell r="B77" t="str">
            <v>13390-47</v>
          </cell>
          <cell r="C77" t="str">
            <v>CAJON PANDO INTERNO GRIS INNOTECH 470MM SIL SYS EXTR.TOL</v>
          </cell>
          <cell r="D77" t="str">
            <v>KIT</v>
          </cell>
          <cell r="E77">
            <v>181493.17401599998</v>
          </cell>
        </row>
        <row r="78">
          <cell r="A78">
            <v>1101910092</v>
          </cell>
          <cell r="B78" t="str">
            <v>9104578-35-GR</v>
          </cell>
          <cell r="C78" t="str">
            <v>CAJON CACEROLERO GRIS INNOTECH 350MM  SIL SYS EXTR.PARL</v>
          </cell>
          <cell r="D78" t="str">
            <v>KIT</v>
          </cell>
          <cell r="E78">
            <v>168148.36684800001</v>
          </cell>
        </row>
        <row r="79">
          <cell r="A79">
            <v>1101910097</v>
          </cell>
          <cell r="B79" t="str">
            <v>9104579-42-GR</v>
          </cell>
          <cell r="C79" t="str">
            <v>CAJON CACEROLERO GRIS INNOTECH 420MM  SIL SYS EXTR.PARL</v>
          </cell>
          <cell r="D79" t="str">
            <v>KIT</v>
          </cell>
          <cell r="E79">
            <v>174825.084672</v>
          </cell>
        </row>
        <row r="80">
          <cell r="A80">
            <v>1102010038</v>
          </cell>
          <cell r="B80" t="str">
            <v>9104581-47-GR</v>
          </cell>
          <cell r="C80" t="str">
            <v>CAJON CACEROLERO GRIS INNOTECH 470MM  SIL SYS EXTR.PARL</v>
          </cell>
          <cell r="D80" t="str">
            <v>KIT</v>
          </cell>
          <cell r="E80">
            <v>177140.968704</v>
          </cell>
        </row>
        <row r="81">
          <cell r="A81">
            <v>1101910037</v>
          </cell>
          <cell r="B81" t="str">
            <v>9079042-30</v>
          </cell>
          <cell r="C81" t="str">
            <v>CAJON CACEROLERO GRIS INNOTECH 300MM  SIL SYS EXTR.TOL</v>
          </cell>
          <cell r="D81" t="str">
            <v>KIT</v>
          </cell>
          <cell r="E81">
            <v>197376.47999999998</v>
          </cell>
        </row>
        <row r="82">
          <cell r="A82">
            <v>1101910012</v>
          </cell>
          <cell r="B82" t="str">
            <v>171062016-35</v>
          </cell>
          <cell r="C82" t="str">
            <v>CAJON CACEROLERO GRIS INNOTECH 350MM  SIL SYS EXTR.TOL</v>
          </cell>
          <cell r="D82" t="str">
            <v>KIT</v>
          </cell>
          <cell r="E82">
            <v>201274.82726399999</v>
          </cell>
        </row>
        <row r="83">
          <cell r="A83">
            <v>1101910063</v>
          </cell>
          <cell r="B83" t="str">
            <v>13219-42</v>
          </cell>
          <cell r="C83" t="str">
            <v>CAJON CACEROLERO GRIS INNOTECH 420MM  SIL SYS EXTR.TOL</v>
          </cell>
          <cell r="D83" t="str">
            <v>KIT</v>
          </cell>
          <cell r="E83">
            <v>206731.47801599998</v>
          </cell>
        </row>
        <row r="84">
          <cell r="A84">
            <v>1101910108</v>
          </cell>
          <cell r="B84" t="str">
            <v>13220-47</v>
          </cell>
          <cell r="C84" t="str">
            <v>CAJON CACEROLERO GRIS INNOTECH 470MM  SIL SYS EXTR.TOL</v>
          </cell>
          <cell r="D84" t="str">
            <v>KIT</v>
          </cell>
          <cell r="E84">
            <v>210631.550976</v>
          </cell>
        </row>
        <row r="85">
          <cell r="A85">
            <v>1101910209</v>
          </cell>
          <cell r="C85" t="str">
            <v>KIT CAJON CAC INNOTECH GRIS EPOXICO MOD 470MM 50KG</v>
          </cell>
          <cell r="D85" t="str">
            <v>KIT</v>
          </cell>
          <cell r="E85">
            <v>239668.11187200001</v>
          </cell>
        </row>
        <row r="86">
          <cell r="A86">
            <v>1101910062</v>
          </cell>
          <cell r="B86" t="str">
            <v>13217-30-GR</v>
          </cell>
          <cell r="C86" t="str">
            <v>CAJON CACEROLERO GRIS INNOTECH 300MM  PUSH TO OPEN</v>
          </cell>
          <cell r="D86" t="str">
            <v>KIT</v>
          </cell>
          <cell r="E86">
            <v>248909.21395199999</v>
          </cell>
        </row>
        <row r="87">
          <cell r="A87">
            <v>1101910064</v>
          </cell>
          <cell r="B87" t="str">
            <v>13219-42-GR</v>
          </cell>
          <cell r="C87" t="str">
            <v>CAJON CACEROLERO GRIS INNOTECH 420MM  PUSH TO OPEN</v>
          </cell>
          <cell r="D87" t="str">
            <v>KIT</v>
          </cell>
          <cell r="E87">
            <v>258264.21196800005</v>
          </cell>
        </row>
        <row r="88">
          <cell r="A88">
            <v>1101910104</v>
          </cell>
          <cell r="B88" t="str">
            <v>13220-47-GR</v>
          </cell>
          <cell r="C88" t="str">
            <v>CAJON CACEROLERO GRIS INNOTECH 470MM  PUSH TO OPEN</v>
          </cell>
          <cell r="D88" t="str">
            <v>KIT</v>
          </cell>
          <cell r="E88">
            <v>262166.01062399993</v>
          </cell>
        </row>
        <row r="89">
          <cell r="A89">
            <v>1101910234</v>
          </cell>
          <cell r="C89" t="str">
            <v>CAJON PANDO ATIRA ANTRANCITA 30KG SILENT SYSTEM 300MM EXT TOTAL SIN TORNILLO EURO</v>
          </cell>
          <cell r="D89" t="str">
            <v>KIT</v>
          </cell>
          <cell r="E89">
            <v>176607.72863999999</v>
          </cell>
        </row>
        <row r="90">
          <cell r="A90">
            <v>1101910232</v>
          </cell>
          <cell r="C90" t="str">
            <v>CAJON PANDO ATIRA ANTRANCITA 30KG SILENT SYSTEM 420MM EXT TOTAL SIN TORNILLO EURO</v>
          </cell>
          <cell r="D90" t="str">
            <v>KIT</v>
          </cell>
          <cell r="E90">
            <v>184908.32640000002</v>
          </cell>
        </row>
        <row r="91">
          <cell r="A91">
            <v>1101910211</v>
          </cell>
          <cell r="C91" t="str">
            <v>CAJON PANDO ATIRA ANTRANCITA 30KG SILENT SYSTEM 470MM EXT TOTAL SIN TORNILLO EURO</v>
          </cell>
          <cell r="D91" t="str">
            <v>KIT</v>
          </cell>
          <cell r="E91">
            <v>188363.169792</v>
          </cell>
        </row>
        <row r="92">
          <cell r="A92">
            <v>1101910261</v>
          </cell>
          <cell r="C92" t="str">
            <v>KIT CAJON PANDO ATIRA ANTRANCITA 50KG SILENT SYSTEM 470MM EXT TOTAL</v>
          </cell>
          <cell r="E92">
            <v>242706.98666666666</v>
          </cell>
        </row>
        <row r="93">
          <cell r="A93">
            <v>1101910241</v>
          </cell>
          <cell r="C93" t="str">
            <v>CAJON PANDO ATIRA ANTRANCITA 30KG PUSH TO OPEN 300MM EXT TOTAL SIN TORNILLO EURO</v>
          </cell>
          <cell r="D93" t="str">
            <v>KIT</v>
          </cell>
          <cell r="E93">
            <v>228140.462592</v>
          </cell>
        </row>
        <row r="94">
          <cell r="A94">
            <v>1101910245</v>
          </cell>
          <cell r="C94" t="str">
            <v>KIT CAJON PANDO ATIRA ANTRANCITA 30KG PUSH TO OPEN 420MM EXT TOTAL SIN TORNILLO EURO</v>
          </cell>
          <cell r="E94">
            <v>236441.06035199997</v>
          </cell>
        </row>
        <row r="95">
          <cell r="A95">
            <v>1101910237</v>
          </cell>
          <cell r="C95" t="str">
            <v>CAJON PANDO ATIRA ANTRANCITA 30KG PUSH TO OPEN 470MM EXT TOTAL SIN TORNILLO EURO</v>
          </cell>
          <cell r="D95" t="str">
            <v>KIT</v>
          </cell>
          <cell r="E95">
            <v>239897.62944000005</v>
          </cell>
        </row>
        <row r="96">
          <cell r="A96">
            <v>1101910235</v>
          </cell>
          <cell r="C96" t="str">
            <v>CAJON PANDO INTERNO ATIRA ANTRANCITA 30KG SILENT SYSTEM 300MM EXT TOTAL SIN TORNILLO EURO</v>
          </cell>
          <cell r="D96" t="str">
            <v>KIT</v>
          </cell>
          <cell r="E96">
            <v>193968.2304</v>
          </cell>
        </row>
        <row r="97">
          <cell r="A97">
            <v>1101910212</v>
          </cell>
          <cell r="C97" t="str">
            <v>CAJON PANDO INTERNO ATIRA ANTRANCITA 30KG SILENT SYSTEM 470MM EXT TOTAL SIN TORNILLO EURO</v>
          </cell>
          <cell r="D97" t="str">
            <v>KIT</v>
          </cell>
          <cell r="E97">
            <v>205721.94585599998</v>
          </cell>
        </row>
        <row r="98">
          <cell r="A98">
            <v>1101910242</v>
          </cell>
          <cell r="C98" t="str">
            <v>CAJON PANDO INTERNO ATIRA ANTRANCITA 30KG PUSH TO OPEN 300MM EXT TOTAL SIN TORNILLO EURO</v>
          </cell>
          <cell r="D98" t="str">
            <v>KIT</v>
          </cell>
          <cell r="E98">
            <v>245500.96435199995</v>
          </cell>
        </row>
        <row r="99">
          <cell r="A99">
            <v>1101910246</v>
          </cell>
          <cell r="C99" t="str">
            <v>KIT CAJON PANDO INTERNO ATIRA ANTRANCITA 30KG PUSH TO OPEN 420MM EXT TOTAL SIN TORNILLO EURO</v>
          </cell>
          <cell r="D99" t="str">
            <v>KIT</v>
          </cell>
          <cell r="E99">
            <v>253799.83641600001</v>
          </cell>
        </row>
        <row r="100">
          <cell r="A100">
            <v>1101910238</v>
          </cell>
          <cell r="C100" t="str">
            <v>CAJON PANDO INTERNO ATIRA ANTRANCITA 30KG PUSH TO OPEN 470MM EXT TOTAL SIN TORNILLO EURO</v>
          </cell>
          <cell r="D100" t="str">
            <v>KIT</v>
          </cell>
          <cell r="E100">
            <v>257256.40550400002</v>
          </cell>
        </row>
        <row r="101">
          <cell r="A101">
            <v>1101910236</v>
          </cell>
          <cell r="C101" t="str">
            <v>CAJON CAC ATIRA ANTRANCITA 30KG SILENT SYSTEM 300MM EXT TOTAL</v>
          </cell>
          <cell r="D101" t="str">
            <v xml:space="preserve">KIT </v>
          </cell>
          <cell r="E101">
            <v>264506.05439999996</v>
          </cell>
        </row>
        <row r="102">
          <cell r="A102">
            <v>1101910233</v>
          </cell>
          <cell r="C102" t="str">
            <v>CAJON CAC ATIRA ANTRANCITA 30KG SILENT SYSTEM 420MM EXT TOTAL</v>
          </cell>
          <cell r="D102" t="str">
            <v xml:space="preserve">KIT </v>
          </cell>
          <cell r="E102">
            <v>240173.7408</v>
          </cell>
        </row>
        <row r="103">
          <cell r="A103">
            <v>1101910213</v>
          </cell>
          <cell r="C103" t="str">
            <v>CAJON CAC ATIRA ANTRANCITA 30KG SILENT SYSTEM 470MM EXT TOTAL</v>
          </cell>
          <cell r="D103" t="str">
            <v xml:space="preserve">KIT </v>
          </cell>
          <cell r="E103">
            <v>244608.77951999998</v>
          </cell>
        </row>
        <row r="104">
          <cell r="A104">
            <v>1101910214</v>
          </cell>
          <cell r="C104" t="str">
            <v>CAJON CAC ATIRA ANTRANCITA 50KG SILENT SYSTEM 470MM EXT TOTAL</v>
          </cell>
          <cell r="D104" t="str">
            <v xml:space="preserve">KIT </v>
          </cell>
          <cell r="E104">
            <v>271569.32812799996</v>
          </cell>
        </row>
        <row r="105">
          <cell r="A105">
            <v>1101910243</v>
          </cell>
          <cell r="C105" t="str">
            <v>CAJON CAC ATIRA ANTRANCITA 30KG PUSH TO OPEN 300MM EXT TOTAL</v>
          </cell>
          <cell r="D105" t="str">
            <v xml:space="preserve">KIT </v>
          </cell>
          <cell r="E105">
            <v>316037.06265600002</v>
          </cell>
        </row>
        <row r="106">
          <cell r="A106">
            <v>1101910247</v>
          </cell>
          <cell r="C106" t="str">
            <v>KIT CAJON CAC ATIRA ATIRA 30KG PUSH TO OPEN 420MM EXT TOTAL</v>
          </cell>
          <cell r="D106" t="str">
            <v xml:space="preserve">KIT </v>
          </cell>
          <cell r="E106">
            <v>291706.47475200001</v>
          </cell>
        </row>
        <row r="107">
          <cell r="A107">
            <v>1101910239</v>
          </cell>
          <cell r="C107" t="str">
            <v>CAJON CAC ATIRA ANTRANCITA 30KG PUSH TO OPEN 470MM EXT TOTAL</v>
          </cell>
          <cell r="D107" t="str">
            <v xml:space="preserve">KIT </v>
          </cell>
          <cell r="E107">
            <v>296146.69056000002</v>
          </cell>
        </row>
        <row r="108">
          <cell r="A108">
            <v>1101910215</v>
          </cell>
          <cell r="C108" t="str">
            <v>CAJON CAC INTERNO ATIRA ANTRANCITA 30KG SILENT SYSTEM 470MM EXT TOTAL</v>
          </cell>
          <cell r="D108" t="str">
            <v>KIT</v>
          </cell>
          <cell r="E108">
            <v>281157.29510400002</v>
          </cell>
        </row>
        <row r="109">
          <cell r="A109">
            <v>1101910240</v>
          </cell>
          <cell r="C109" t="str">
            <v>CAJON CAC INTERNO ATIRA ANTRANCITA 30KG PUSH TO OPEN 470MM EXT TOTAL</v>
          </cell>
          <cell r="D109" t="str">
            <v>KIT</v>
          </cell>
          <cell r="E109">
            <v>332691.75475199998</v>
          </cell>
        </row>
        <row r="110">
          <cell r="A110">
            <v>1161910340</v>
          </cell>
          <cell r="B110">
            <v>9079333</v>
          </cell>
          <cell r="C110" t="str">
            <v>ESTABILIZADOR LATERAL</v>
          </cell>
          <cell r="D110" t="str">
            <v>JUEGO</v>
          </cell>
          <cell r="E110">
            <v>104000</v>
          </cell>
        </row>
        <row r="111">
          <cell r="A111">
            <v>1161910344</v>
          </cell>
          <cell r="B111">
            <v>9104108</v>
          </cell>
          <cell r="C111" t="str">
            <v>FRENTE AL BASIC 2000MM CAJON INT ANOD GRIS PLATA BARRA 2 METROS</v>
          </cell>
          <cell r="D111" t="str">
            <v>UND</v>
          </cell>
          <cell r="E111">
            <v>276000</v>
          </cell>
        </row>
        <row r="112">
          <cell r="A112">
            <v>1161910165</v>
          </cell>
          <cell r="B112">
            <v>9104107</v>
          </cell>
          <cell r="C112" t="str">
            <v>SET CONECTOR FRENTE ALUMINIO CAJON INTERNO PANDO INNOTECH -ATIRA GRIS H70</v>
          </cell>
          <cell r="D112" t="str">
            <v>JUEGO</v>
          </cell>
          <cell r="E112">
            <v>19252</v>
          </cell>
        </row>
        <row r="113">
          <cell r="A113">
            <v>1161910082</v>
          </cell>
          <cell r="B113">
            <v>9104118</v>
          </cell>
          <cell r="C113" t="str">
            <v>SET CONECTOR FRENTE ALUMINIO CAJON INTERNO ALTO INNOTECH -ATIRA GRIS H144</v>
          </cell>
          <cell r="D113" t="str">
            <v>JUEGO</v>
          </cell>
          <cell r="E113">
            <v>39512</v>
          </cell>
        </row>
        <row r="114">
          <cell r="A114">
            <v>1161210025</v>
          </cell>
          <cell r="B114">
            <v>77924</v>
          </cell>
          <cell r="C114" t="str">
            <v>BARRAS 1140 MM TRANSV RECORT MOD 1200MM</v>
          </cell>
          <cell r="D114" t="str">
            <v>UNIDAD</v>
          </cell>
          <cell r="E114">
            <v>48916.578816000001</v>
          </cell>
        </row>
        <row r="115">
          <cell r="A115">
            <v>1161910397</v>
          </cell>
          <cell r="B115">
            <v>9194766</v>
          </cell>
          <cell r="C115" t="str">
            <v>FRENTE DE ALU  ANTRACITA  2000MM BARRA 2 METROS</v>
          </cell>
          <cell r="D115" t="str">
            <v>UND</v>
          </cell>
          <cell r="E115">
            <v>306933.33333333331</v>
          </cell>
        </row>
        <row r="116">
          <cell r="A116">
            <v>1161010108</v>
          </cell>
          <cell r="B116">
            <v>9196349</v>
          </cell>
          <cell r="C116" t="str">
            <v>SET CONECTOR FRENTE ALUMINIO CAJON INTERNO PANDO ATIRA ANTRACITA H70</v>
          </cell>
          <cell r="D116" t="str">
            <v>JUEGO</v>
          </cell>
          <cell r="E116">
            <v>19251.864575999996</v>
          </cell>
        </row>
        <row r="117">
          <cell r="A117">
            <v>1161010109</v>
          </cell>
          <cell r="B117">
            <v>9204259</v>
          </cell>
          <cell r="C117" t="str">
            <v>SET CONECTOR FRENTE ALUMINIO CAJON INTERNO ALTO ATIRA ANTRANCITA H144</v>
          </cell>
          <cell r="D117" t="str">
            <v>JUEGO</v>
          </cell>
          <cell r="E117">
            <v>39511.535616000001</v>
          </cell>
        </row>
        <row r="118">
          <cell r="A118">
            <v>1161010110</v>
          </cell>
          <cell r="B118">
            <v>9194616</v>
          </cell>
          <cell r="C118" t="str">
            <v>BARRA FRENTE EN ALUMINIO  C.INTERNO 2000 MM  H 144 ANTRANCITA</v>
          </cell>
          <cell r="D118" t="str">
            <v>UND</v>
          </cell>
          <cell r="E118">
            <v>82555.570944000006</v>
          </cell>
        </row>
        <row r="119">
          <cell r="A119">
            <v>1101410055</v>
          </cell>
          <cell r="B119" t="str">
            <v>9014651-1</v>
          </cell>
          <cell r="C119" t="str">
            <v>KIT ORGANIZADOR UNIVERSAL 900MM</v>
          </cell>
          <cell r="D119" t="str">
            <v>KIT</v>
          </cell>
          <cell r="E119">
            <v>231013.74643199999</v>
          </cell>
        </row>
        <row r="120">
          <cell r="A120">
            <v>1112010019</v>
          </cell>
          <cell r="B120">
            <v>9014651</v>
          </cell>
          <cell r="C120" t="str">
            <v>SEPARADOR ORGANIZADOR UNIVERSAL</v>
          </cell>
          <cell r="D120" t="str">
            <v>UNIDAD</v>
          </cell>
          <cell r="E120">
            <v>15929.899776</v>
          </cell>
        </row>
        <row r="121">
          <cell r="A121">
            <v>1161210025</v>
          </cell>
          <cell r="B121">
            <v>1074009</v>
          </cell>
          <cell r="C121" t="str">
            <v>BARRAS 1140 MM TRANSV RECORT MOD 1200MM</v>
          </cell>
          <cell r="D121" t="str">
            <v>UNIDAD</v>
          </cell>
          <cell r="E121">
            <v>48916.578816000001</v>
          </cell>
        </row>
        <row r="122">
          <cell r="A122">
            <v>1111010035</v>
          </cell>
          <cell r="B122">
            <v>1070632</v>
          </cell>
          <cell r="C122" t="str">
            <v>SOPORTE BARRA TRANSV</v>
          </cell>
          <cell r="D122" t="str">
            <v>UNIDAD</v>
          </cell>
          <cell r="E122">
            <v>1461.6645120000001</v>
          </cell>
        </row>
        <row r="123">
          <cell r="A123">
            <v>1161910328</v>
          </cell>
          <cell r="B123">
            <v>9182267</v>
          </cell>
          <cell r="C123" t="str">
            <v>ORGANIZADOR ORGASTORE 810 ARCITECH ANTRACITA 900 MM</v>
          </cell>
          <cell r="E123">
            <v>327441.22879999998</v>
          </cell>
        </row>
        <row r="124">
          <cell r="A124">
            <v>1161910329</v>
          </cell>
          <cell r="B124">
            <v>9182268</v>
          </cell>
          <cell r="C124" t="str">
            <v>ORGANIZADOR ORGASTORE 810 ARCITECH ANTRACITA 1200 MM</v>
          </cell>
          <cell r="E124">
            <v>392926.59840000002</v>
          </cell>
        </row>
        <row r="125">
          <cell r="A125">
            <v>1161310020</v>
          </cell>
          <cell r="B125">
            <v>48793</v>
          </cell>
          <cell r="C125" t="str">
            <v>ORGANIZADOR ORGAFLAG 900MM</v>
          </cell>
          <cell r="D125" t="str">
            <v>UNIDAD</v>
          </cell>
          <cell r="E125">
            <v>678885.35500800004</v>
          </cell>
        </row>
        <row r="126">
          <cell r="A126">
            <v>1161910079</v>
          </cell>
          <cell r="B126">
            <v>9115726</v>
          </cell>
          <cell r="C126" t="str">
            <v>SEPARADOR ORGA STORE PLATA MOD.900</v>
          </cell>
          <cell r="D126" t="str">
            <v>UNIDAD</v>
          </cell>
          <cell r="E126">
            <v>245048.83200000002</v>
          </cell>
        </row>
        <row r="127">
          <cell r="A127">
            <v>1161910078</v>
          </cell>
          <cell r="B127">
            <v>9115723</v>
          </cell>
          <cell r="C127" t="str">
            <v>SEPARADOR ORGA STORE PLATA MOD.600</v>
          </cell>
          <cell r="D127" t="str">
            <v>UNIDAD</v>
          </cell>
          <cell r="E127">
            <v>172569.60000000001</v>
          </cell>
        </row>
        <row r="128">
          <cell r="A128">
            <v>1102010013</v>
          </cell>
          <cell r="B128">
            <v>49084</v>
          </cell>
          <cell r="C128" t="str">
            <v>ORGANIZADOR ORGAWING BANDEJAS OSCILANTES</v>
          </cell>
          <cell r="D128" t="str">
            <v>JUEGO</v>
          </cell>
          <cell r="E128">
            <v>699664.46054399991</v>
          </cell>
        </row>
        <row r="129">
          <cell r="A129">
            <v>1101410054</v>
          </cell>
          <cell r="B129">
            <v>9004125</v>
          </cell>
          <cell r="C129" t="str">
            <v>ORGANIZADOR RACK POT 470/900MM</v>
          </cell>
          <cell r="D129" t="str">
            <v>UNIDAD</v>
          </cell>
          <cell r="E129">
            <v>769929.62457600003</v>
          </cell>
        </row>
        <row r="130">
          <cell r="A130">
            <v>1101910028</v>
          </cell>
          <cell r="B130">
            <v>42725</v>
          </cell>
          <cell r="C130" t="str">
            <v>KIT CAJON GRAN PROFUNDIDAD 600MM</v>
          </cell>
          <cell r="D130" t="str">
            <v>JUEGO</v>
          </cell>
          <cell r="E130">
            <v>1437333.3333333333</v>
          </cell>
        </row>
        <row r="131">
          <cell r="A131">
            <v>3121010011</v>
          </cell>
          <cell r="B131">
            <v>40119</v>
          </cell>
          <cell r="C131" t="str">
            <v>BARRAS DE BORDE PARA FREGADERO INNOTECH</v>
          </cell>
          <cell r="D131" t="str">
            <v>UNIDAD</v>
          </cell>
          <cell r="E131">
            <v>112000</v>
          </cell>
        </row>
        <row r="132">
          <cell r="A132">
            <v>1101610003</v>
          </cell>
          <cell r="B132" t="str">
            <v>F13160</v>
          </cell>
          <cell r="C132" t="str">
            <v>ESCURRIDOR DE VAJILLA INOX.MOD.600MM</v>
          </cell>
          <cell r="D132" t="str">
            <v>UNIDAD</v>
          </cell>
          <cell r="E132">
            <v>122666.66666666667</v>
          </cell>
        </row>
        <row r="133">
          <cell r="A133">
            <v>1101610004</v>
          </cell>
          <cell r="B133" t="str">
            <v>F13170</v>
          </cell>
          <cell r="C133" t="str">
            <v>ESCURRIDOR DE VAJILLA INOX.MOD.700MM</v>
          </cell>
          <cell r="D133" t="str">
            <v>UNIDAD</v>
          </cell>
          <cell r="E133">
            <v>141333.33333333334</v>
          </cell>
        </row>
        <row r="134">
          <cell r="A134">
            <v>1101610005</v>
          </cell>
          <cell r="B134" t="str">
            <v>F13180</v>
          </cell>
          <cell r="C134" t="str">
            <v>ESCURRIDOR DE VAJILLA INOX.MOD.800MM</v>
          </cell>
          <cell r="D134" t="str">
            <v>UNIDAD</v>
          </cell>
          <cell r="E134">
            <v>165333.33333333334</v>
          </cell>
        </row>
        <row r="135">
          <cell r="A135">
            <v>1101610006</v>
          </cell>
          <cell r="B135" t="str">
            <v>F13190</v>
          </cell>
          <cell r="C135" t="str">
            <v>ESCURRIDOR DE VAJILLA INOX.MOD.900MM</v>
          </cell>
          <cell r="D135" t="str">
            <v>UNIDAD</v>
          </cell>
          <cell r="E135">
            <v>192000</v>
          </cell>
        </row>
        <row r="136">
          <cell r="A136">
            <v>1101610002</v>
          </cell>
          <cell r="B136" t="str">
            <v>F13200</v>
          </cell>
          <cell r="C136" t="str">
            <v>ESCURRIDOR DE VAJILLA INOX.MOD.1000MM</v>
          </cell>
          <cell r="D136" t="str">
            <v>UNIDAD</v>
          </cell>
          <cell r="E136">
            <v>192000</v>
          </cell>
        </row>
        <row r="137">
          <cell r="A137">
            <v>1101410005</v>
          </cell>
          <cell r="B137">
            <v>46112</v>
          </cell>
          <cell r="C137" t="str">
            <v>CUBERTERO MADERA HAYA NAT. MOD. 500MM</v>
          </cell>
          <cell r="D137" t="str">
            <v>UNIDAD</v>
          </cell>
          <cell r="E137">
            <v>138573.38879999999</v>
          </cell>
        </row>
        <row r="138">
          <cell r="A138">
            <v>1101410008</v>
          </cell>
          <cell r="B138">
            <v>46432</v>
          </cell>
          <cell r="C138" t="str">
            <v>CUBERTERO MADERA HAYA NAT. Y ACERO MOD. 500MM</v>
          </cell>
          <cell r="D138" t="str">
            <v>UNIDAD</v>
          </cell>
          <cell r="E138">
            <v>422795.52000000002</v>
          </cell>
        </row>
        <row r="139">
          <cell r="A139">
            <v>1101410006</v>
          </cell>
          <cell r="B139">
            <v>46424</v>
          </cell>
          <cell r="C139" t="str">
            <v>CUBERTERO MADERA HAYA NAT. Y ACERO MOD. 600MM</v>
          </cell>
          <cell r="D139" t="str">
            <v>UNIDAD</v>
          </cell>
          <cell r="E139">
            <v>450579.22560000001</v>
          </cell>
        </row>
        <row r="140">
          <cell r="A140">
            <v>1101410007</v>
          </cell>
          <cell r="B140">
            <v>46426</v>
          </cell>
          <cell r="C140" t="str">
            <v>CUBERTERO MADERA HAYA NAT. Y ACERO MOD. 900MM</v>
          </cell>
          <cell r="D140" t="str">
            <v>UNIDAD</v>
          </cell>
          <cell r="E140">
            <v>607272.42240000004</v>
          </cell>
        </row>
        <row r="141">
          <cell r="A141">
            <v>1101410027</v>
          </cell>
          <cell r="B141">
            <v>1069955</v>
          </cell>
          <cell r="C141" t="str">
            <v>CUBERTERO INNOPLUS 450</v>
          </cell>
          <cell r="D141" t="str">
            <v>UNIDAD</v>
          </cell>
          <cell r="E141">
            <v>300764.65305600001</v>
          </cell>
        </row>
        <row r="142">
          <cell r="A142">
            <v>1101410012</v>
          </cell>
          <cell r="B142">
            <v>40633107</v>
          </cell>
          <cell r="C142" t="str">
            <v>CUBERTERO GRIS 300 KO 4 PUESTOS 200-250MM</v>
          </cell>
          <cell r="D142" t="str">
            <v>UNIDAD</v>
          </cell>
          <cell r="E142">
            <v>24151.2696</v>
          </cell>
        </row>
        <row r="143">
          <cell r="A143">
            <v>1101410013</v>
          </cell>
          <cell r="B143">
            <v>40633109</v>
          </cell>
          <cell r="C143" t="str">
            <v>CUBERTERO GRIS 400 KO 5 PUESTOS 300-350MM</v>
          </cell>
          <cell r="D143" t="str">
            <v>UNIDAD</v>
          </cell>
          <cell r="E143">
            <v>28506.648960000006</v>
          </cell>
        </row>
        <row r="144">
          <cell r="A144">
            <v>1101410014</v>
          </cell>
          <cell r="B144">
            <v>40633111</v>
          </cell>
          <cell r="C144" t="str">
            <v>CUBERTERO GRIS 500 KO 6 PUESTOS 400-450MM</v>
          </cell>
          <cell r="D144" t="str">
            <v>UNIDAD</v>
          </cell>
          <cell r="E144">
            <v>33356.393999999993</v>
          </cell>
        </row>
        <row r="145">
          <cell r="A145">
            <v>1101410015</v>
          </cell>
          <cell r="B145">
            <v>40633113</v>
          </cell>
          <cell r="C145" t="str">
            <v>CUBERTERO GRIS 600 KO 7 PUESTOS 500-550MM</v>
          </cell>
          <cell r="D145" t="str">
            <v>UNIDAD</v>
          </cell>
          <cell r="E145">
            <v>38941.485840000001</v>
          </cell>
        </row>
        <row r="146">
          <cell r="A146">
            <v>1101410041</v>
          </cell>
          <cell r="B146">
            <v>40633114</v>
          </cell>
          <cell r="C146" t="str">
            <v xml:space="preserve">CUBERTERO GRIS 700 KO  600-650MM </v>
          </cell>
          <cell r="D146" t="str">
            <v>UNIDAD</v>
          </cell>
          <cell r="E146">
            <v>65243.866320000001</v>
          </cell>
        </row>
        <row r="147">
          <cell r="A147">
            <v>1101410040</v>
          </cell>
          <cell r="B147">
            <v>40633115</v>
          </cell>
          <cell r="C147" t="str">
            <v>CUBERTERO GRIS 800 KO 10 PUESTOS 800-850MM</v>
          </cell>
          <cell r="D147" t="str">
            <v>UNIDAD</v>
          </cell>
          <cell r="E147">
            <v>77292.922319999998</v>
          </cell>
        </row>
        <row r="148">
          <cell r="A148">
            <v>1101410016</v>
          </cell>
          <cell r="B148">
            <v>40633116</v>
          </cell>
          <cell r="C148" t="str">
            <v>CUBERTERO GRIS 900 KO 10 PUESTOS 800-850MM</v>
          </cell>
          <cell r="D148" t="str">
            <v>UNIDAD</v>
          </cell>
          <cell r="E148">
            <v>84492.23328</v>
          </cell>
        </row>
        <row r="149">
          <cell r="A149">
            <v>1101410017</v>
          </cell>
          <cell r="B149">
            <v>40633117</v>
          </cell>
          <cell r="C149" t="str">
            <v>CUBERTERO GRIS 1000 KO 10 PUESTOS 900-950MM</v>
          </cell>
          <cell r="D149" t="str">
            <v>UNIDAD</v>
          </cell>
          <cell r="E149">
            <v>93162.237840000002</v>
          </cell>
        </row>
        <row r="150">
          <cell r="A150">
            <v>1101410018</v>
          </cell>
          <cell r="B150">
            <v>40633118</v>
          </cell>
          <cell r="C150" t="str">
            <v>CUBERTERO GRIS 1200 KO 12 PUESTOS 1100-1150MM</v>
          </cell>
          <cell r="D150" t="str">
            <v>UNIDAD</v>
          </cell>
          <cell r="E150">
            <v>131639.48063999999</v>
          </cell>
        </row>
        <row r="151">
          <cell r="A151">
            <v>1101410025</v>
          </cell>
          <cell r="B151">
            <v>45013005</v>
          </cell>
          <cell r="C151" t="str">
            <v xml:space="preserve">CUBERTERO ESPECIERO 900 KO-GSE 700-850MM </v>
          </cell>
          <cell r="D151" t="str">
            <v>UNIDAD</v>
          </cell>
          <cell r="E151">
            <v>101979.31176</v>
          </cell>
        </row>
        <row r="152">
          <cell r="A152">
            <v>1101410026</v>
          </cell>
          <cell r="B152">
            <v>45013007</v>
          </cell>
          <cell r="C152" t="str">
            <v>CUBERTERO ESPECIERO 1200 KO-GSE 1100-1150MM</v>
          </cell>
          <cell r="D152" t="str">
            <v>UNIDAD</v>
          </cell>
          <cell r="E152">
            <v>143784.22031999999</v>
          </cell>
        </row>
        <row r="153">
          <cell r="A153">
            <v>1101410020</v>
          </cell>
          <cell r="B153">
            <v>41221014</v>
          </cell>
          <cell r="C153" t="str">
            <v>CUBERTERO BLANCO 600 BRM 9 PUESTOS 500-550MM</v>
          </cell>
          <cell r="D153" t="str">
            <v>UNIDAD</v>
          </cell>
          <cell r="E153">
            <v>41271.868800000004</v>
          </cell>
        </row>
        <row r="154">
          <cell r="A154">
            <v>1101410021</v>
          </cell>
          <cell r="B154">
            <v>41221017</v>
          </cell>
          <cell r="C154" t="str">
            <v>CUBERTERO BLANCO 900 BRM 15 PUESTOS 800-850MM</v>
          </cell>
          <cell r="D154" t="str">
            <v>UNIDAD</v>
          </cell>
          <cell r="E154">
            <v>89444.980800000005</v>
          </cell>
        </row>
        <row r="155">
          <cell r="A155">
            <v>1101410060</v>
          </cell>
          <cell r="C155" t="str">
            <v>CUBERTERO ANTRACITA 300 BRM 4 PUESTOS 200-250MM</v>
          </cell>
          <cell r="D155" t="str">
            <v>UNIDAD</v>
          </cell>
          <cell r="E155">
            <v>29457.0144</v>
          </cell>
        </row>
        <row r="156">
          <cell r="A156">
            <v>1101410023</v>
          </cell>
          <cell r="B156">
            <v>41246004</v>
          </cell>
          <cell r="C156" t="str">
            <v>CUBERTERO ANTRACITA 400 BRM 5 PUESTOS 300-350MM</v>
          </cell>
          <cell r="D156" t="str">
            <v>UNIDAD</v>
          </cell>
          <cell r="E156">
            <v>34155.22176</v>
          </cell>
        </row>
        <row r="157">
          <cell r="A157">
            <v>1101410061</v>
          </cell>
          <cell r="C157" t="str">
            <v>CUBERTERO ANTRACITA 500 BRM 6 PUESTOS 400-450MM</v>
          </cell>
          <cell r="D157" t="str">
            <v>UNIDAD</v>
          </cell>
          <cell r="E157">
            <v>40953.385440000005</v>
          </cell>
        </row>
        <row r="158">
          <cell r="A158">
            <v>1101410024</v>
          </cell>
          <cell r="B158">
            <v>41246007</v>
          </cell>
          <cell r="C158" t="str">
            <v>CUBERTERO ANTRACITA 600 BRM 9 PUESTOS 500-550MM</v>
          </cell>
          <cell r="D158" t="str">
            <v>UNIDAD</v>
          </cell>
          <cell r="E158">
            <v>46665.13104</v>
          </cell>
        </row>
        <row r="159">
          <cell r="A159">
            <v>1101410062</v>
          </cell>
          <cell r="C159" t="str">
            <v>CUBERTERO ANTRACITA 700 BRM 9 PUESTOS 600-650MM</v>
          </cell>
          <cell r="D159" t="str">
            <v>UNIDAD</v>
          </cell>
          <cell r="E159">
            <v>86650.74</v>
          </cell>
        </row>
        <row r="160">
          <cell r="A160">
            <v>1101410063</v>
          </cell>
          <cell r="C160" t="str">
            <v>CUBERTERO ANTRACITA 800 BRM 10 PUESTOS 700-750MM</v>
          </cell>
          <cell r="D160" t="str">
            <v>UNIDAD</v>
          </cell>
          <cell r="E160">
            <v>93692.96639999999</v>
          </cell>
        </row>
        <row r="161">
          <cell r="A161">
            <v>1101410022</v>
          </cell>
          <cell r="B161">
            <v>41246001</v>
          </cell>
          <cell r="C161" t="str">
            <v>CUBERTERO ANTRACITA 900 BRM 15 PUESTOS 800-850MM</v>
          </cell>
          <cell r="D161" t="str">
            <v>UNIDAD</v>
          </cell>
          <cell r="E161">
            <v>96560.70336</v>
          </cell>
        </row>
        <row r="162">
          <cell r="A162">
            <v>1101910031</v>
          </cell>
          <cell r="B162">
            <v>59946002</v>
          </cell>
          <cell r="C162" t="str">
            <v>CUCHILLERO PLASTICO BRM ANTRACITA</v>
          </cell>
          <cell r="D162" t="str">
            <v>UNIDAD</v>
          </cell>
          <cell r="E162">
            <v>48070.186560000002</v>
          </cell>
        </row>
        <row r="163">
          <cell r="A163">
            <v>1161910324</v>
          </cell>
          <cell r="B163">
            <v>9278319</v>
          </cell>
          <cell r="C163" t="str">
            <v>CUBERTERO ORGATRAY 600 ARCITECH ANTRACITA ACERO 500-1200 MM</v>
          </cell>
        </row>
        <row r="164">
          <cell r="A164">
            <v>1101410036</v>
          </cell>
          <cell r="B164">
            <v>9278316</v>
          </cell>
          <cell r="C164" t="str">
            <v>CUBERTERO ORGATRAY 600 ARCITECH CHAMPAÑA ACERO 500-1200 MM</v>
          </cell>
        </row>
        <row r="165">
          <cell r="A165">
            <v>1101410038</v>
          </cell>
          <cell r="B165">
            <v>13306</v>
          </cell>
          <cell r="C165" t="str">
            <v>CUBERTERO ORGATRAY INNOTECH 560 PLATA 600X470</v>
          </cell>
          <cell r="D165" t="str">
            <v>UNIDAD</v>
          </cell>
          <cell r="E165">
            <v>111193.49606399999</v>
          </cell>
        </row>
        <row r="166">
          <cell r="A166">
            <v>1101410039</v>
          </cell>
          <cell r="B166">
            <v>13307</v>
          </cell>
          <cell r="C166" t="str">
            <v>CUBERTERO ORGATRAY INNOTECH 560 PLATA 800 X 470</v>
          </cell>
          <cell r="D166" t="str">
            <v>UNIDAD</v>
          </cell>
          <cell r="E166">
            <v>209413.20959999997</v>
          </cell>
        </row>
        <row r="167">
          <cell r="A167">
            <v>1161910396</v>
          </cell>
          <cell r="B167">
            <v>9194913</v>
          </cell>
          <cell r="C167" t="str">
            <v>INNONECH ATIRA ORGATRAY 590 B600 T470</v>
          </cell>
          <cell r="D167" t="str">
            <v>UNIDAD</v>
          </cell>
          <cell r="E167">
            <v>115160.871168</v>
          </cell>
        </row>
        <row r="168">
          <cell r="A168">
            <v>110201065</v>
          </cell>
          <cell r="C168" t="str">
            <v>SALVASIFON OMEGA 12- TRASERA 12 GRIS</v>
          </cell>
          <cell r="D168" t="str">
            <v>UNIDAD</v>
          </cell>
          <cell r="E168">
            <v>38758.824000000001</v>
          </cell>
        </row>
        <row r="169">
          <cell r="A169">
            <v>1161910341</v>
          </cell>
          <cell r="B169">
            <v>9079226</v>
          </cell>
          <cell r="C169" t="str">
            <v>PERFIL CIERRE OBTURADOR INOX</v>
          </cell>
          <cell r="D169" t="str">
            <v>UNIDAD</v>
          </cell>
          <cell r="E169">
            <v>11608.387199999999</v>
          </cell>
        </row>
        <row r="170">
          <cell r="A170">
            <v>1161410008</v>
          </cell>
          <cell r="B170">
            <v>9203466</v>
          </cell>
          <cell r="C170" t="str">
            <v>PERFIL 1100 MM  ORGA STRIPE PROFIL GRIS</v>
          </cell>
          <cell r="D170" t="str">
            <v>UNIDAD</v>
          </cell>
          <cell r="E170">
            <v>16721.994240000004</v>
          </cell>
        </row>
        <row r="171">
          <cell r="A171">
            <v>1161410009</v>
          </cell>
          <cell r="B171">
            <v>9203254</v>
          </cell>
          <cell r="C171" t="str">
            <v>PERFIL 1100 MM  ORGA STRIPE PROFIL NEGRO</v>
          </cell>
          <cell r="D171" t="str">
            <v>UNIDAD</v>
          </cell>
          <cell r="E171">
            <v>16721.994240000004</v>
          </cell>
        </row>
        <row r="172">
          <cell r="A172">
            <v>1161410010</v>
          </cell>
          <cell r="B172">
            <v>9203465</v>
          </cell>
          <cell r="C172" t="str">
            <v>PERFIL 1100 MM  ORGA STRIPE PROFIL BLANCO</v>
          </cell>
          <cell r="D172" t="str">
            <v>UNIDAD</v>
          </cell>
          <cell r="E172">
            <v>16721.994240000004</v>
          </cell>
        </row>
        <row r="173">
          <cell r="A173">
            <v>1161410011</v>
          </cell>
          <cell r="B173">
            <v>9203469</v>
          </cell>
          <cell r="C173" t="str">
            <v>SEPARADOR PARA 4MM ORGACLIP COLOR GRIS</v>
          </cell>
          <cell r="D173" t="str">
            <v>UNIDAD</v>
          </cell>
          <cell r="E173">
            <v>3848.3020799999999</v>
          </cell>
        </row>
        <row r="174">
          <cell r="A174">
            <v>1161410012</v>
          </cell>
          <cell r="B174">
            <v>9203467</v>
          </cell>
          <cell r="C174" t="str">
            <v>SEPARADOR PARA 4MM ORGACLIP COLOR NEGRO</v>
          </cell>
          <cell r="D174" t="str">
            <v>UNIDAD</v>
          </cell>
          <cell r="E174">
            <v>3848.3020799999999</v>
          </cell>
        </row>
        <row r="175">
          <cell r="A175">
            <v>1161410013</v>
          </cell>
          <cell r="B175">
            <v>9203468</v>
          </cell>
          <cell r="C175" t="str">
            <v>SEPARADOR PARA 4MM ORGACLIP COLOR BLANCO</v>
          </cell>
          <cell r="D175" t="str">
            <v>UNIDAD</v>
          </cell>
          <cell r="E175">
            <v>3848.3020799999999</v>
          </cell>
        </row>
        <row r="176">
          <cell r="A176">
            <v>1101510009</v>
          </cell>
          <cell r="B176" t="str">
            <v>6270B3</v>
          </cell>
          <cell r="C176" t="str">
            <v>BASURERA PLAST BLANCA LINEA 270 An.277xProf.277xAlt.355 MM</v>
          </cell>
          <cell r="D176" t="str">
            <v>UNIDAD</v>
          </cell>
          <cell r="E176">
            <v>78501.140639999998</v>
          </cell>
        </row>
        <row r="177">
          <cell r="A177">
            <v>1101510010</v>
          </cell>
          <cell r="B177" t="str">
            <v>6276NE</v>
          </cell>
          <cell r="C177" t="str">
            <v>BASURERA METALICA ALU. LINEA 276 An.277xProf.277xAlt.355 MM</v>
          </cell>
          <cell r="D177" t="str">
            <v>UNIDAD</v>
          </cell>
          <cell r="E177">
            <v>220696.95024000001</v>
          </cell>
        </row>
        <row r="178">
          <cell r="A178">
            <v>1101510007</v>
          </cell>
          <cell r="B178" t="str">
            <v>6227GC</v>
          </cell>
          <cell r="C178" t="str">
            <v>BASURERA EXTRAIBLE LINEA 227 An.255xProf.450xAlt.398 MM</v>
          </cell>
          <cell r="D178" t="str">
            <v>UNIDAD</v>
          </cell>
          <cell r="E178">
            <v>322571.56464</v>
          </cell>
        </row>
        <row r="179">
          <cell r="A179">
            <v>1161510001</v>
          </cell>
          <cell r="B179" t="str">
            <v>6101GR</v>
          </cell>
          <cell r="C179" t="str">
            <v>ENGANCHE CONTENEDOR LINEA 227</v>
          </cell>
          <cell r="D179" t="str">
            <v>UNIDAD</v>
          </cell>
          <cell r="E179">
            <v>56201.296319999994</v>
          </cell>
        </row>
        <row r="180">
          <cell r="A180">
            <v>1101510012</v>
          </cell>
          <cell r="B180" t="str">
            <v>6550GR</v>
          </cell>
          <cell r="C180" t="str">
            <v>BASURERA EXTRAIBLE LINEA 550 An.380xProf.493xAlt.593 MM</v>
          </cell>
          <cell r="D180" t="str">
            <v>UNIDAD</v>
          </cell>
          <cell r="E180">
            <v>880472.28672000009</v>
          </cell>
        </row>
        <row r="181">
          <cell r="A181">
            <v>1101510013</v>
          </cell>
          <cell r="B181" t="str">
            <v>6555GR</v>
          </cell>
          <cell r="C181" t="str">
            <v>PIEZA DE FIJACION BASURERA</v>
          </cell>
          <cell r="D181" t="str">
            <v>UNIDAD</v>
          </cell>
          <cell r="E181">
            <v>146121.76800000001</v>
          </cell>
        </row>
        <row r="182">
          <cell r="A182">
            <v>1101510014</v>
          </cell>
          <cell r="B182" t="str">
            <v>6557GC</v>
          </cell>
          <cell r="C182" t="str">
            <v>CONTENEDOR GRAN CAPACIDAD PARA DESECHOS</v>
          </cell>
          <cell r="D182" t="str">
            <v>UNIDAD</v>
          </cell>
          <cell r="E182">
            <v>52453.608479999995</v>
          </cell>
        </row>
        <row r="183">
          <cell r="A183">
            <v>1101510015</v>
          </cell>
          <cell r="B183" t="str">
            <v>6580GC</v>
          </cell>
          <cell r="C183" t="str">
            <v>BASURERA EXTRAIBLE LINEA 580 An.500xProf.550xAlt.560 MM</v>
          </cell>
          <cell r="D183" t="str">
            <v>UNIDAD</v>
          </cell>
          <cell r="E183">
            <v>1742210.14032</v>
          </cell>
        </row>
        <row r="184">
          <cell r="B184" t="str">
            <v>1101510030-1</v>
          </cell>
          <cell r="C184" t="str">
            <v>KIT CANECA INNOTECH PULL 600MM</v>
          </cell>
          <cell r="D184" t="str">
            <v>UNIDAD</v>
          </cell>
          <cell r="E184">
            <v>942528.93119999999</v>
          </cell>
        </row>
        <row r="185">
          <cell r="A185">
            <v>1101510019</v>
          </cell>
          <cell r="B185">
            <v>44842</v>
          </cell>
          <cell r="C185" t="str">
            <v>SISTEMA DE BASURA INNOFLEX 900MM</v>
          </cell>
          <cell r="D185" t="str">
            <v>UNIDAD</v>
          </cell>
          <cell r="E185">
            <v>624079.46880000003</v>
          </cell>
        </row>
        <row r="186">
          <cell r="A186">
            <v>1101510016</v>
          </cell>
          <cell r="B186" t="str">
            <v>6906GS</v>
          </cell>
          <cell r="C186" t="str">
            <v>CONTENEDOR RESIDUOS PARA CAJON SISTEMA 906 MOD.900MM</v>
          </cell>
          <cell r="D186" t="str">
            <v>UNIDAD</v>
          </cell>
          <cell r="E186">
            <v>357362.3664</v>
          </cell>
        </row>
        <row r="187">
          <cell r="A187">
            <v>1101510017</v>
          </cell>
          <cell r="B187" t="str">
            <v>6908GS</v>
          </cell>
          <cell r="C187" t="str">
            <v>CONTENEDOR RESIDUOS PARA CAJON SISTEMA 908 MOD.600MM</v>
          </cell>
          <cell r="D187" t="str">
            <v>UNIDAD</v>
          </cell>
          <cell r="E187">
            <v>267085.35360000003</v>
          </cell>
        </row>
        <row r="188">
          <cell r="A188">
            <v>1101510002</v>
          </cell>
          <cell r="B188">
            <v>1031</v>
          </cell>
          <cell r="C188" t="str">
            <v xml:space="preserve"> BASURERA BLANCA LINEA PREMIERE 900 MM</v>
          </cell>
          <cell r="D188" t="str">
            <v>UNIDAD</v>
          </cell>
          <cell r="E188">
            <v>825066.66666666663</v>
          </cell>
        </row>
        <row r="189">
          <cell r="A189">
            <v>1101510003</v>
          </cell>
          <cell r="B189">
            <v>1033</v>
          </cell>
          <cell r="C189" t="str">
            <v xml:space="preserve"> BASURERA BLANCA LINEA PREMIERE 1200 MM</v>
          </cell>
          <cell r="D189" t="str">
            <v>UNIDAD</v>
          </cell>
          <cell r="E189">
            <v>901333.33333333337</v>
          </cell>
        </row>
        <row r="190">
          <cell r="A190">
            <v>1101510035</v>
          </cell>
          <cell r="B190" t="str">
            <v>235 /6235GC1PZ</v>
          </cell>
          <cell r="C190" t="str">
            <v>BASURERA LINEA 235 An.330xProf.470xAlt.320 MM PARA MODULO 450</v>
          </cell>
          <cell r="D190" t="str">
            <v>UNIDAD</v>
          </cell>
          <cell r="E190">
            <v>193333.33333333334</v>
          </cell>
        </row>
        <row r="191">
          <cell r="A191">
            <v>1101510036</v>
          </cell>
          <cell r="B191" t="str">
            <v>252  / 6252GC1PZ</v>
          </cell>
          <cell r="C191" t="str">
            <v>BASURERA EXTRAIBLE LINEA 252 An 400 x Prof 440 x Alt 267mm</v>
          </cell>
          <cell r="D191" t="str">
            <v>UNIDAD</v>
          </cell>
          <cell r="E191">
            <v>301930.54560000001</v>
          </cell>
        </row>
        <row r="192">
          <cell r="A192">
            <v>1101510034</v>
          </cell>
          <cell r="B192" t="str">
            <v>589 / 6589GS1PZ</v>
          </cell>
          <cell r="C192" t="str">
            <v>BASURERA EXTRAIBLE LINEA 589 An.400xProf.470xAlt.480 MM</v>
          </cell>
          <cell r="D192" t="str">
            <v>UNIDAD</v>
          </cell>
          <cell r="E192">
            <v>1095185.2320000001</v>
          </cell>
        </row>
        <row r="193">
          <cell r="A193">
            <v>1111910083</v>
          </cell>
          <cell r="C193" t="str">
            <v>TOLVA RIEL  SOFT LINEA 580 An.600xProf.500xAlt.504 MM</v>
          </cell>
          <cell r="D193" t="str">
            <v>UNIDAD</v>
          </cell>
          <cell r="E193">
            <v>1042151.6664</v>
          </cell>
        </row>
        <row r="194">
          <cell r="A194">
            <v>1111910084</v>
          </cell>
          <cell r="C194" t="str">
            <v>TOLVA ABATIBLE LINEA BH An.400xProf.307xAlt.504 MM</v>
          </cell>
          <cell r="D194" t="str">
            <v>UNIDAD</v>
          </cell>
          <cell r="E194">
            <v>340516.8</v>
          </cell>
        </row>
        <row r="195">
          <cell r="A195">
            <v>1111210007</v>
          </cell>
          <cell r="B195">
            <v>59799056</v>
          </cell>
          <cell r="C195" t="str">
            <v>ESTERILLA PROTECTORA CONTRA AGUA 2000X580MM</v>
          </cell>
          <cell r="D195" t="str">
            <v>UNIDAD</v>
          </cell>
          <cell r="E195">
            <v>130929.33333333333</v>
          </cell>
        </row>
        <row r="196">
          <cell r="A196">
            <v>1111210216</v>
          </cell>
          <cell r="C196" t="str">
            <v>TAPETE SUPERGRIP ANTHRAZIT DE 2000 X 500MM</v>
          </cell>
          <cell r="E196">
            <v>94533.333333333328</v>
          </cell>
        </row>
        <row r="197">
          <cell r="A197">
            <v>1111210203</v>
          </cell>
          <cell r="B197" t="str">
            <v>93131000IC</v>
          </cell>
          <cell r="C197" t="str">
            <v>ROLLO TAPETE PLASTICO GRIS X 1000 mm DE ANCHO ITALIANA</v>
          </cell>
          <cell r="D197" t="str">
            <v>MTS</v>
          </cell>
          <cell r="E197">
            <v>53880.235199999996</v>
          </cell>
        </row>
        <row r="198">
          <cell r="A198">
            <v>1111210140</v>
          </cell>
          <cell r="B198" t="str">
            <v>93124800IC</v>
          </cell>
          <cell r="C198" t="str">
            <v>TAPETE PLASTICO  GRIS H:480MM X 1,2 MM ITALIANA</v>
          </cell>
          <cell r="D198" t="str">
            <v>MTS</v>
          </cell>
          <cell r="E198">
            <v>26347.680000000004</v>
          </cell>
        </row>
        <row r="199">
          <cell r="A199">
            <v>1111210162</v>
          </cell>
          <cell r="B199" t="str">
            <v>93124800EE</v>
          </cell>
          <cell r="C199" t="str">
            <v>ROLLO TAPETE PLASTICO ANTRHRACITE X 480 mm  DE ANCHO x 20 MT</v>
          </cell>
          <cell r="D199" t="str">
            <v>MTS</v>
          </cell>
          <cell r="E199">
            <v>26668.166399999998</v>
          </cell>
        </row>
        <row r="200">
          <cell r="A200">
            <v>1111210163</v>
          </cell>
          <cell r="B200" t="str">
            <v>93124800AB</v>
          </cell>
          <cell r="C200" t="str">
            <v>ROLLO TAPETE PLASTICO WHITE X 480 mm  DE ANCHO x 20 MT</v>
          </cell>
          <cell r="D200" t="str">
            <v>MTS</v>
          </cell>
          <cell r="E200">
            <v>29933.121599999999</v>
          </cell>
        </row>
        <row r="201">
          <cell r="A201">
            <v>1101110137</v>
          </cell>
          <cell r="B201" t="str">
            <v>9118030-1</v>
          </cell>
          <cell r="C201" t="str">
            <v xml:space="preserve">KIT RIEL OCULTO 300MM SILENT SYSTEM EXTRACCION TOTAL </v>
          </cell>
          <cell r="D201" t="str">
            <v>JUEGO</v>
          </cell>
          <cell r="E201">
            <v>104000</v>
          </cell>
        </row>
        <row r="202">
          <cell r="A202">
            <v>1101110025</v>
          </cell>
          <cell r="B202" t="str">
            <v>9113013-1</v>
          </cell>
          <cell r="C202" t="str">
            <v xml:space="preserve">KIT RIEL OCULTO 350MM SILENT SYSTEM EXT. TOTAL </v>
          </cell>
          <cell r="D202" t="str">
            <v>JUEGO</v>
          </cell>
          <cell r="E202">
            <v>108400</v>
          </cell>
        </row>
        <row r="203">
          <cell r="A203">
            <v>1101110026</v>
          </cell>
          <cell r="B203" t="str">
            <v>9099108-1</v>
          </cell>
          <cell r="C203" t="str">
            <v xml:space="preserve">KIT RIEL OCULTO 400MM SILENT SYSTEM EXT. TOTAL </v>
          </cell>
          <cell r="D203" t="str">
            <v>JUEGO</v>
          </cell>
          <cell r="E203">
            <v>112800</v>
          </cell>
        </row>
        <row r="204">
          <cell r="A204">
            <v>1101110114</v>
          </cell>
          <cell r="B204" t="str">
            <v>9099124-1</v>
          </cell>
          <cell r="C204" t="str">
            <v xml:space="preserve">KIT RIEL OCULTO 450MM SILENT SYSTEM EXTRACCION TOTAL </v>
          </cell>
          <cell r="D204" t="str">
            <v>JUEGO</v>
          </cell>
          <cell r="E204">
            <v>117800</v>
          </cell>
        </row>
        <row r="205">
          <cell r="A205">
            <v>1101110027</v>
          </cell>
          <cell r="B205" t="str">
            <v>9118058-1</v>
          </cell>
          <cell r="C205" t="str">
            <v xml:space="preserve">KIT RIEL OCULTO 500MM SILENT SYSTEM EXT. TOTAL  </v>
          </cell>
          <cell r="D205" t="str">
            <v>JUEGO</v>
          </cell>
          <cell r="E205">
            <v>122798.80166400001</v>
          </cell>
        </row>
        <row r="206">
          <cell r="A206">
            <v>1101110051</v>
          </cell>
          <cell r="B206" t="str">
            <v>9126030-1</v>
          </cell>
          <cell r="C206" t="str">
            <v>KIT RIEL OCULTO 250MM SILENT SYS EXT. PARCIAL/TORNILLO</v>
          </cell>
          <cell r="D206" t="str">
            <v>JUEGO</v>
          </cell>
          <cell r="E206">
            <v>50122.840319999996</v>
          </cell>
        </row>
        <row r="207">
          <cell r="A207">
            <v>1101110052</v>
          </cell>
          <cell r="B207" t="str">
            <v>9126034-1</v>
          </cell>
          <cell r="C207" t="str">
            <v>KIT RIEL OCULTO 300MM SILENT SYS EXT. PARCIAL/TORNILLO</v>
          </cell>
          <cell r="D207" t="str">
            <v>JUEGO</v>
          </cell>
          <cell r="E207">
            <v>51575.876351999992</v>
          </cell>
        </row>
        <row r="208">
          <cell r="A208">
            <v>1101110053</v>
          </cell>
          <cell r="B208" t="str">
            <v>9126038-1</v>
          </cell>
          <cell r="C208" t="str">
            <v>KIT RIEL OCULTO 350MM SILENT SYS EXT. PARCIAL/TORNILLO</v>
          </cell>
          <cell r="D208" t="str">
            <v>JUEGO</v>
          </cell>
          <cell r="E208">
            <v>53032.363776000006</v>
          </cell>
        </row>
        <row r="209">
          <cell r="A209">
            <v>1101110054</v>
          </cell>
          <cell r="B209" t="str">
            <v>9126042-1</v>
          </cell>
          <cell r="C209" t="str">
            <v>KIT RIEL OCULTO 400MM SILENT SYS EXT. PARCIAL/TORNILLO</v>
          </cell>
          <cell r="D209" t="str">
            <v>JUEGO</v>
          </cell>
          <cell r="E209">
            <v>55933.258751999994</v>
          </cell>
        </row>
        <row r="210">
          <cell r="A210">
            <v>1101110055</v>
          </cell>
          <cell r="B210" t="str">
            <v>9126044-1</v>
          </cell>
          <cell r="C210" t="str">
            <v>KIT RIEL OCULTO 450MM SILENT SYS EXT. PARCIAL/TORNILLO</v>
          </cell>
          <cell r="D210" t="str">
            <v>JUEGO</v>
          </cell>
          <cell r="E210">
            <v>58839.330816000002</v>
          </cell>
        </row>
        <row r="211">
          <cell r="A211">
            <v>1101110056</v>
          </cell>
          <cell r="B211" t="str">
            <v>9126046-1</v>
          </cell>
          <cell r="C211" t="str">
            <v>KIT RIEL OCULTO 500MM SILENT SYS EXT. PARCIAL/TORNILLO</v>
          </cell>
          <cell r="D211" t="str">
            <v>JUEGO</v>
          </cell>
          <cell r="E211">
            <v>63196.713215999996</v>
          </cell>
        </row>
        <row r="212">
          <cell r="A212">
            <v>1101110123</v>
          </cell>
          <cell r="B212" t="str">
            <v>9116594-1</v>
          </cell>
          <cell r="C212" t="str">
            <v>KIT RIEL OCULTO 300MM STOP CONTROL EXT. PARCIAL/TORNILLO</v>
          </cell>
          <cell r="D212" t="str">
            <v>JUEGO</v>
          </cell>
          <cell r="E212">
            <v>34384.4928</v>
          </cell>
        </row>
        <row r="213">
          <cell r="A213">
            <v>1101110124</v>
          </cell>
          <cell r="B213" t="str">
            <v>9116596-1</v>
          </cell>
          <cell r="C213" t="str">
            <v>KIT RIEL OCULTO 350MM STOP CONTROL. EXT. PARCIAL/TORNILLO</v>
          </cell>
          <cell r="D213" t="str">
            <v>JUEGO</v>
          </cell>
          <cell r="E213">
            <v>35352.608256</v>
          </cell>
        </row>
        <row r="214">
          <cell r="A214">
            <v>1101110125</v>
          </cell>
          <cell r="B214" t="str">
            <v>9116598-1</v>
          </cell>
          <cell r="C214" t="str">
            <v>KIT RIEL OCULTO 400MM STOP CONTROL EXT. PARCIAL/TORNILLO</v>
          </cell>
          <cell r="D214" t="str">
            <v>JUEGO</v>
          </cell>
          <cell r="E214">
            <v>37290.564864</v>
          </cell>
        </row>
        <row r="215">
          <cell r="A215">
            <v>1101110126</v>
          </cell>
          <cell r="B215" t="str">
            <v>9116600-1</v>
          </cell>
          <cell r="C215" t="str">
            <v>KIT RIEL OCULTO 450MM STOP CONTROL EXT. PARCIAL/TORNILLO</v>
          </cell>
          <cell r="D215" t="str">
            <v>JUEGO</v>
          </cell>
          <cell r="E215">
            <v>39228.521472</v>
          </cell>
        </row>
        <row r="216">
          <cell r="A216">
            <v>1101110127</v>
          </cell>
          <cell r="B216" t="str">
            <v>9116612-1</v>
          </cell>
          <cell r="C216" t="str">
            <v>KIT RIEL OCULTO 500MM STOP CONTROL EXT. PARCIAL/TORNILLO</v>
          </cell>
          <cell r="D216" t="str">
            <v>JUEGO</v>
          </cell>
          <cell r="E216">
            <v>42134.593536</v>
          </cell>
        </row>
        <row r="217">
          <cell r="A217">
            <v>1102010041</v>
          </cell>
          <cell r="B217" t="str">
            <v>9125265-30</v>
          </cell>
          <cell r="C217" t="str">
            <v>KIT RIEL OCULTO 300MM PUSH TO OPEN EXT.TOTAL</v>
          </cell>
          <cell r="D217" t="str">
            <v>JUEGO</v>
          </cell>
          <cell r="E217">
            <v>110306.48832</v>
          </cell>
        </row>
        <row r="218">
          <cell r="A218">
            <v>1102010043</v>
          </cell>
          <cell r="B218" t="str">
            <v>9125338-40</v>
          </cell>
          <cell r="C218" t="str">
            <v xml:space="preserve">KIT RIEL OCULTO 400MM PUSH TO OPEN EXT.TOTAL </v>
          </cell>
          <cell r="D218" t="str">
            <v>JUEGO</v>
          </cell>
          <cell r="E218">
            <v>119079.92678400001</v>
          </cell>
        </row>
        <row r="219">
          <cell r="A219">
            <v>1102010044</v>
          </cell>
          <cell r="B219" t="str">
            <v>9125355-50</v>
          </cell>
          <cell r="C219" t="str">
            <v xml:space="preserve">KIT RIEL OCULTO 500MM PUSH TO OPEN EXT.TOTAL </v>
          </cell>
          <cell r="D219" t="str">
            <v>JUEGO</v>
          </cell>
          <cell r="E219">
            <v>133705.200384</v>
          </cell>
        </row>
        <row r="220">
          <cell r="A220">
            <v>1102010005</v>
          </cell>
          <cell r="B220">
            <v>2606020005</v>
          </cell>
          <cell r="C220" t="str">
            <v>CONDIMENTERO 2 NIV CROMADO MOD.150MM</v>
          </cell>
          <cell r="D220" t="str">
            <v>UNIDAD</v>
          </cell>
          <cell r="E220">
            <v>550666.66666666663</v>
          </cell>
        </row>
        <row r="221">
          <cell r="A221">
            <v>1102010016</v>
          </cell>
          <cell r="B221">
            <v>2606040005</v>
          </cell>
          <cell r="C221" t="str">
            <v>SET DETERGENTES TOALLERO CROMADO MOD.150MM</v>
          </cell>
          <cell r="D221" t="str">
            <v>UNIDAD</v>
          </cell>
          <cell r="E221">
            <v>516160.4500800001</v>
          </cell>
        </row>
        <row r="222">
          <cell r="A222">
            <v>1101110028</v>
          </cell>
          <cell r="B222">
            <v>2606050005</v>
          </cell>
          <cell r="C222" t="str">
            <v>SET BANDEJAS CLASSIC CROMADO SILENT SYSTEM</v>
          </cell>
          <cell r="D222" t="str">
            <v>UNIDAD</v>
          </cell>
          <cell r="E222">
            <v>545375.09664</v>
          </cell>
        </row>
        <row r="223">
          <cell r="A223">
            <v>1112010037</v>
          </cell>
          <cell r="B223">
            <v>2606000005</v>
          </cell>
          <cell r="C223" t="str">
            <v>SEPARADOR ADICIONAL SET CONDIMENTERO/DETERGENTES</v>
          </cell>
          <cell r="D223" t="str">
            <v>UNIDAD</v>
          </cell>
          <cell r="E223">
            <v>14367.497759999998</v>
          </cell>
        </row>
        <row r="224">
          <cell r="A224">
            <v>1101710004</v>
          </cell>
          <cell r="B224" t="str">
            <v>20102-1</v>
          </cell>
          <cell r="C224" t="str">
            <v>SET CONFORT 3 CANASTAS MOD. 400MM SILENT SYSTEM IZQ.</v>
          </cell>
          <cell r="D224" t="str">
            <v>UNIDAD</v>
          </cell>
          <cell r="E224">
            <v>799929.12384000001</v>
          </cell>
        </row>
        <row r="225">
          <cell r="A225">
            <v>1101910030</v>
          </cell>
          <cell r="B225">
            <v>5144</v>
          </cell>
          <cell r="C225" t="str">
            <v>SET BOTELLERO 3 CANASTAS MOD.300MM SILENT SYSTEM IZQ.</v>
          </cell>
          <cell r="D225" t="str">
            <v>UNIDAD</v>
          </cell>
          <cell r="E225">
            <v>764831.54879999999</v>
          </cell>
        </row>
        <row r="226">
          <cell r="A226">
            <v>1102010058</v>
          </cell>
          <cell r="B226" t="str">
            <v>52620102-1</v>
          </cell>
          <cell r="C226" t="str">
            <v>DESPENSA  JUNIOR III 300 MM MONTAJE AL SUELO 2 CANASTAS</v>
          </cell>
          <cell r="D226" t="str">
            <v>KIT</v>
          </cell>
          <cell r="E226">
            <v>634346.12736000004</v>
          </cell>
        </row>
        <row r="227">
          <cell r="A227">
            <v>1102010059</v>
          </cell>
          <cell r="B227" t="str">
            <v>52650102-2</v>
          </cell>
          <cell r="C227" t="str">
            <v>KIT JUNIOR III 2 CANASTAS MOD 400 MM MONTAJE AL SUELO</v>
          </cell>
          <cell r="D227" t="str">
            <v>KIT</v>
          </cell>
          <cell r="E227">
            <v>694982.15424000006</v>
          </cell>
        </row>
        <row r="228">
          <cell r="A228">
            <v>1161310011</v>
          </cell>
          <cell r="C228" t="str">
            <v>CANASTA CROMADA 250X467X110 MOD.300MM</v>
          </cell>
          <cell r="D228" t="str">
            <v>UNIDAD</v>
          </cell>
          <cell r="E228">
            <v>112080</v>
          </cell>
        </row>
        <row r="229">
          <cell r="A229">
            <v>1161310012</v>
          </cell>
          <cell r="C229" t="str">
            <v>CANASTA CROMADA 350X467X110 MOD.400MM</v>
          </cell>
          <cell r="D229" t="str">
            <v>UNIDAD</v>
          </cell>
          <cell r="E229">
            <v>146000</v>
          </cell>
        </row>
        <row r="230">
          <cell r="A230">
            <v>1101710026</v>
          </cell>
          <cell r="B230">
            <v>252350102</v>
          </cell>
          <cell r="C230" t="str">
            <v xml:space="preserve">SET EXTRAIBLE COOKING AGENT AN.260 X PROF.489 X AL. 625MM </v>
          </cell>
          <cell r="D230" t="str">
            <v>UNIDAD</v>
          </cell>
          <cell r="E230">
            <v>939888.92448000016</v>
          </cell>
        </row>
        <row r="231">
          <cell r="A231">
            <v>1102010023</v>
          </cell>
          <cell r="B231">
            <v>2611000005</v>
          </cell>
          <cell r="C231" t="str">
            <v>EXTRACCION PRODUCTOS DE LIMPIEZA-PORTERO 1</v>
          </cell>
          <cell r="D231" t="str">
            <v>UNIDAD</v>
          </cell>
          <cell r="E231">
            <v>486325.7856</v>
          </cell>
        </row>
        <row r="232">
          <cell r="A232">
            <v>1101710025</v>
          </cell>
          <cell r="B232">
            <v>252320102</v>
          </cell>
          <cell r="C232" t="str">
            <v>SET EXTRAIBLE CLEANING AGENT AN.298 X PROF.480 X ALT480MM</v>
          </cell>
          <cell r="D232" t="str">
            <v>UNIDAD</v>
          </cell>
          <cell r="E232">
            <v>433307.93616000004</v>
          </cell>
        </row>
        <row r="233">
          <cell r="A233">
            <v>1101710005</v>
          </cell>
          <cell r="B233" t="str">
            <v>20114-1</v>
          </cell>
          <cell r="C233" t="str">
            <v>SET LEMANS II MOD.450MM IZQ.SILENT SYSTEM</v>
          </cell>
          <cell r="D233" t="str">
            <v>JUEGO</v>
          </cell>
          <cell r="E233">
            <v>1800666.6666666667</v>
          </cell>
        </row>
        <row r="234">
          <cell r="A234">
            <v>1101710003</v>
          </cell>
          <cell r="B234" t="str">
            <v>20113-1</v>
          </cell>
          <cell r="C234" t="str">
            <v>SET LEMANS II MOD.450MM DRE.SILENT SYSTEM</v>
          </cell>
          <cell r="D234" t="str">
            <v>JUEGO</v>
          </cell>
          <cell r="E234">
            <v>1800666.6666666667</v>
          </cell>
        </row>
        <row r="235">
          <cell r="A235">
            <v>1101710007</v>
          </cell>
          <cell r="B235" t="str">
            <v>20116-1</v>
          </cell>
          <cell r="C235" t="str">
            <v xml:space="preserve">SET LEMANS II MOD.600MM IZQ.SILENT SYSTEM </v>
          </cell>
          <cell r="D235" t="str">
            <v>JUEGO</v>
          </cell>
          <cell r="E235">
            <v>1611413.3232000002</v>
          </cell>
        </row>
        <row r="236">
          <cell r="A236">
            <v>1101710006</v>
          </cell>
          <cell r="B236" t="str">
            <v>20115-1</v>
          </cell>
          <cell r="C236" t="str">
            <v xml:space="preserve">SET LEMANS II MOD.600MM DRE.SILENT SYSTEM </v>
          </cell>
          <cell r="D236" t="str">
            <v>JUEGO</v>
          </cell>
          <cell r="E236">
            <v>1611413.3232000002</v>
          </cell>
        </row>
        <row r="237">
          <cell r="A237">
            <v>1161710027</v>
          </cell>
          <cell r="B237" t="str">
            <v>379200005-1</v>
          </cell>
          <cell r="C237" t="str">
            <v xml:space="preserve">SET LEMANS DOBLE II MOD. 450MM DRE.SILENT SYSTEM </v>
          </cell>
          <cell r="D237" t="str">
            <v>JUEGO</v>
          </cell>
          <cell r="E237">
            <v>2895264.8928</v>
          </cell>
        </row>
        <row r="238">
          <cell r="A238">
            <v>1161710028</v>
          </cell>
          <cell r="B238" t="str">
            <v>379210005-1</v>
          </cell>
          <cell r="C238" t="str">
            <v xml:space="preserve">SET LEMANS DOBLE II MOD. 450MM IZQ.SILENT SYSTEM </v>
          </cell>
          <cell r="D238" t="str">
            <v>JUEGO</v>
          </cell>
          <cell r="E238">
            <v>2895264.8928</v>
          </cell>
        </row>
        <row r="239">
          <cell r="A239">
            <v>1101710015</v>
          </cell>
          <cell r="B239" t="str">
            <v>20119-1</v>
          </cell>
          <cell r="C239" t="str">
            <v xml:space="preserve">SET LEMANS DOBLE II MOD. 600 MM DRE.SILENT SYSTEM </v>
          </cell>
          <cell r="D239" t="str">
            <v>JUEGO</v>
          </cell>
          <cell r="E239">
            <v>3195264.8160000001</v>
          </cell>
        </row>
        <row r="240">
          <cell r="A240">
            <v>1101710016</v>
          </cell>
          <cell r="B240" t="str">
            <v>20120-1</v>
          </cell>
          <cell r="C240" t="str">
            <v xml:space="preserve">SET LEMANS DOBLE II MOD. 600 MM IZQ.SILENT SYSTEM </v>
          </cell>
          <cell r="D240" t="str">
            <v>JUEGO</v>
          </cell>
          <cell r="E240">
            <v>3195264.8160000001</v>
          </cell>
        </row>
        <row r="241">
          <cell r="A241">
            <v>1101710017</v>
          </cell>
          <cell r="B241" t="str">
            <v>20200-1</v>
          </cell>
          <cell r="C241" t="str">
            <v xml:space="preserve">ESQUINERO SET REVO 90 </v>
          </cell>
          <cell r="D241" t="str">
            <v>JUEGO</v>
          </cell>
          <cell r="E241">
            <v>1362615.7248</v>
          </cell>
        </row>
        <row r="242">
          <cell r="A242">
            <v>110201060</v>
          </cell>
          <cell r="B242">
            <v>2602719846</v>
          </cell>
          <cell r="C242" t="str">
            <v>SET HERRAJE TANDEM SIDE 450MM ANCHO, MIN. 1.700MM ALTURA, ANTRACITA</v>
          </cell>
          <cell r="D242" t="str">
            <v>JUEGO</v>
          </cell>
          <cell r="E242">
            <v>596761.08479999995</v>
          </cell>
        </row>
        <row r="243">
          <cell r="A243">
            <v>1102010006</v>
          </cell>
          <cell r="B243" t="str">
            <v>2423-1</v>
          </cell>
          <cell r="C243" t="str">
            <v>DESPENSA EXT. TOTAL 5 CANASTAS CROMADAS MOD.300MM</v>
          </cell>
          <cell r="D243" t="str">
            <v>JUEGO</v>
          </cell>
          <cell r="E243">
            <v>2256560</v>
          </cell>
        </row>
        <row r="244">
          <cell r="A244">
            <v>1102010007</v>
          </cell>
          <cell r="B244" t="str">
            <v>2423-2</v>
          </cell>
          <cell r="C244" t="str">
            <v>DESPENSA EXT. TOTAL 5 CANASTAS CROMADAS MOD.400MM</v>
          </cell>
          <cell r="D244" t="str">
            <v>JUEGO</v>
          </cell>
          <cell r="E244">
            <v>2583226.6666666665</v>
          </cell>
        </row>
        <row r="245">
          <cell r="A245">
            <v>1102010002</v>
          </cell>
          <cell r="B245" t="str">
            <v>4222-1</v>
          </cell>
          <cell r="C245" t="str">
            <v>DESPENSA EXT. PARCIAL 5 CANASTAS CROMADAS MOD.300MM</v>
          </cell>
          <cell r="D245" t="str">
            <v>JUEGO</v>
          </cell>
          <cell r="E245">
            <v>1203605.1647999999</v>
          </cell>
        </row>
        <row r="246">
          <cell r="A246">
            <v>1102010018</v>
          </cell>
          <cell r="B246" t="str">
            <v>4222-2</v>
          </cell>
          <cell r="C246" t="str">
            <v>DESPENSA EXT. PARCIAL 5 CANASTAS CROMADAS MOD.400MM</v>
          </cell>
          <cell r="D246" t="str">
            <v>JUEGO</v>
          </cell>
          <cell r="E246">
            <v>1377244.08</v>
          </cell>
        </row>
        <row r="247">
          <cell r="A247">
            <v>1102010020</v>
          </cell>
          <cell r="B247" t="str">
            <v>26002-2</v>
          </cell>
          <cell r="C247" t="str">
            <v>DESPENSA EXT. TOTAL 5 CANASTAS ARENA VARIO MOD.400MM</v>
          </cell>
          <cell r="D247" t="str">
            <v>JUEGO</v>
          </cell>
          <cell r="E247">
            <v>4175193.5855999999</v>
          </cell>
        </row>
        <row r="248">
          <cell r="A248">
            <v>1102010019</v>
          </cell>
          <cell r="B248" t="str">
            <v>26002-1</v>
          </cell>
          <cell r="C248" t="str">
            <v>DESPENSA EXT. TOTAL 5 CANASTAS ARENA STYLE MOD.400MM</v>
          </cell>
          <cell r="D248" t="str">
            <v>JUEGO</v>
          </cell>
          <cell r="E248">
            <v>4387736.16</v>
          </cell>
        </row>
        <row r="249">
          <cell r="A249">
            <v>1102010008</v>
          </cell>
          <cell r="B249" t="str">
            <v>1443-1</v>
          </cell>
          <cell r="C249" t="str">
            <v>DESPENSA SWING - 5 CANASTAS CROMADAS MOD.300MM</v>
          </cell>
          <cell r="D249" t="str">
            <v>JUEGO</v>
          </cell>
          <cell r="E249">
            <v>2126926.4832000001</v>
          </cell>
        </row>
        <row r="250">
          <cell r="A250">
            <v>1102010009</v>
          </cell>
          <cell r="B250" t="str">
            <v>1443-2</v>
          </cell>
          <cell r="C250" t="str">
            <v>DESPENSA SWING - 5 CANASTAS CROMADAS MOD.400MM</v>
          </cell>
          <cell r="D250" t="str">
            <v>JUEGO</v>
          </cell>
          <cell r="E250">
            <v>2264735.6351999999</v>
          </cell>
        </row>
        <row r="251">
          <cell r="A251">
            <v>1161310015</v>
          </cell>
          <cell r="B251">
            <v>2602010005</v>
          </cell>
          <cell r="C251" t="str">
            <v>DESPENSA TANDEM CANASTILLAS MOD. 450X1700MM 6 NIV.</v>
          </cell>
          <cell r="D251" t="str">
            <v>UNIDAD</v>
          </cell>
          <cell r="E251">
            <v>2101717.4543999997</v>
          </cell>
        </row>
        <row r="252">
          <cell r="A252">
            <v>1161310014</v>
          </cell>
          <cell r="B252">
            <v>2602130005</v>
          </cell>
          <cell r="C252" t="str">
            <v>DESPENSA TANDEM ARENA STYLE MOD. 450X1700MM 6 NIV.</v>
          </cell>
          <cell r="D252" t="str">
            <v>UNIDAD</v>
          </cell>
          <cell r="E252">
            <v>2855370.4992</v>
          </cell>
        </row>
        <row r="253">
          <cell r="A253">
            <v>1102010021</v>
          </cell>
          <cell r="B253" t="str">
            <v>2802-1</v>
          </cell>
          <cell r="C253" t="str">
            <v>DESPENSA CONVOY - 5 CANASTAS ARENA PLUS MOD.500MM</v>
          </cell>
          <cell r="D253" t="str">
            <v>JUEGO</v>
          </cell>
          <cell r="E253">
            <v>3482542.3535999996</v>
          </cell>
        </row>
        <row r="254">
          <cell r="A254">
            <v>1102010022</v>
          </cell>
          <cell r="B254" t="str">
            <v>2802-2</v>
          </cell>
          <cell r="C254" t="str">
            <v>DESPENSA CONVOY - 5 CANASTAS ARENA PLUS MOD.600MM</v>
          </cell>
          <cell r="D254" t="str">
            <v>JUEGO</v>
          </cell>
          <cell r="E254">
            <v>3648868.6320000007</v>
          </cell>
        </row>
        <row r="255">
          <cell r="A255">
            <v>1161310028</v>
          </cell>
          <cell r="B255">
            <v>842467930</v>
          </cell>
          <cell r="C255" t="str">
            <v>SET E TOUCH DESPENSA / PERMIO</v>
          </cell>
          <cell r="D255" t="str">
            <v>UND</v>
          </cell>
          <cell r="E255">
            <v>2155161.6432000003</v>
          </cell>
        </row>
        <row r="256">
          <cell r="A256">
            <v>1102010014</v>
          </cell>
          <cell r="B256">
            <v>9062032</v>
          </cell>
          <cell r="C256" t="str">
            <v>SISTEMA DE ORGANIZACIÓN COSARIO 600MM</v>
          </cell>
          <cell r="D256" t="str">
            <v>UND</v>
          </cell>
          <cell r="E256">
            <v>2583348.4224</v>
          </cell>
        </row>
        <row r="257">
          <cell r="A257">
            <v>110201057</v>
          </cell>
          <cell r="B257">
            <v>217020102</v>
          </cell>
          <cell r="C257" t="str">
            <v>IMOVE FOR 600 MM</v>
          </cell>
          <cell r="D257" t="str">
            <v>UND</v>
          </cell>
          <cell r="E257">
            <v>891452.95199999993</v>
          </cell>
        </row>
        <row r="258">
          <cell r="A258">
            <v>1101210049</v>
          </cell>
          <cell r="B258" t="str">
            <v>2718700006-1</v>
          </cell>
          <cell r="C258" t="str">
            <v>BRAZO FREEFOLD H:580-650MM 4.3-8.8 KG</v>
          </cell>
          <cell r="D258" t="str">
            <v>JUEGO</v>
          </cell>
          <cell r="E258">
            <v>387958.03200000006</v>
          </cell>
        </row>
        <row r="259">
          <cell r="A259">
            <v>1101210050</v>
          </cell>
          <cell r="B259" t="str">
            <v>2718710006-1</v>
          </cell>
          <cell r="C259" t="str">
            <v>BRAZO FREEFOLD H:580-650MM 6.0-12.2 KG</v>
          </cell>
          <cell r="D259" t="str">
            <v>JUEGO</v>
          </cell>
          <cell r="E259">
            <v>387958.03200000006</v>
          </cell>
        </row>
        <row r="260">
          <cell r="A260">
            <v>1101210054</v>
          </cell>
          <cell r="B260" t="str">
            <v>2718750006-1</v>
          </cell>
          <cell r="C260" t="str">
            <v>BRAZO FREEFOLD H:650-730MM 5.8-11.6 KG</v>
          </cell>
          <cell r="D260" t="str">
            <v>JUEGO</v>
          </cell>
          <cell r="E260">
            <v>387958.03200000006</v>
          </cell>
        </row>
        <row r="261">
          <cell r="A261">
            <v>1101210075</v>
          </cell>
          <cell r="B261" t="str">
            <v>2718790006-1</v>
          </cell>
          <cell r="C261" t="str">
            <v>BRAZO FREEFOLD H:710-790MM 5.2-10.3 KG</v>
          </cell>
          <cell r="D261" t="str">
            <v>JUEGO</v>
          </cell>
          <cell r="E261">
            <v>387958.03200000006</v>
          </cell>
        </row>
        <row r="262">
          <cell r="A262">
            <v>1101210003</v>
          </cell>
          <cell r="B262" t="str">
            <v>2718800006-1</v>
          </cell>
          <cell r="C262" t="str">
            <v>BRAZO FREEFOLD H:710-790MM 8.7-17.2 KG</v>
          </cell>
          <cell r="D262" t="str">
            <v>JUEGO</v>
          </cell>
          <cell r="E262">
            <v>420753.96</v>
          </cell>
        </row>
        <row r="263">
          <cell r="A263">
            <v>1101210058</v>
          </cell>
          <cell r="B263" t="str">
            <v>2718830006-1</v>
          </cell>
          <cell r="C263" t="str">
            <v>BRAZO FREEFOLD H:770-840MM 4.9-9.8 KG</v>
          </cell>
          <cell r="D263" t="str">
            <v>JUEGO</v>
          </cell>
          <cell r="E263">
            <v>387958.03200000006</v>
          </cell>
        </row>
        <row r="264">
          <cell r="A264">
            <v>1101210059</v>
          </cell>
          <cell r="B264" t="str">
            <v>2718840006-1</v>
          </cell>
          <cell r="C264" t="str">
            <v>BRAZO FREEFOLD H:770-840MM 8.0-15.5 KG</v>
          </cell>
          <cell r="D264" t="str">
            <v>JUEGO</v>
          </cell>
          <cell r="E264">
            <v>420753.96</v>
          </cell>
        </row>
        <row r="265">
          <cell r="A265">
            <v>1101210061</v>
          </cell>
          <cell r="B265" t="str">
            <v>2718870006-1</v>
          </cell>
          <cell r="C265" t="str">
            <v>BRAZO FREEFOLD H:840-910MM 4.5-9.0 KG</v>
          </cell>
          <cell r="D265" t="str">
            <v>JUEGO</v>
          </cell>
          <cell r="E265">
            <v>457617.60000000003</v>
          </cell>
        </row>
        <row r="266">
          <cell r="A266">
            <v>1101210004</v>
          </cell>
          <cell r="B266" t="str">
            <v>2718880006-1</v>
          </cell>
          <cell r="C266" t="str">
            <v>BRAZO FREEFOLD H:840-910MM 7.3-14.6 KG</v>
          </cell>
          <cell r="D266" t="str">
            <v>JUEGO</v>
          </cell>
          <cell r="E266">
            <v>483040.8</v>
          </cell>
        </row>
        <row r="267">
          <cell r="A267">
            <v>1101210141</v>
          </cell>
          <cell r="B267" t="str">
            <v>2720790006-1</v>
          </cell>
          <cell r="C267" t="str">
            <v>KIT BRAZO FREEFOLD H:960-1010MM 8.6-17.3 KG</v>
          </cell>
          <cell r="D267" t="str">
            <v>JUEGO</v>
          </cell>
          <cell r="E267">
            <v>618666.66666666663</v>
          </cell>
        </row>
        <row r="268">
          <cell r="A268">
            <v>1101110035</v>
          </cell>
          <cell r="B268">
            <v>2715590006</v>
          </cell>
          <cell r="C268" t="str">
            <v>BISAGRA INTERMEDIA FREEFOLD</v>
          </cell>
          <cell r="D268" t="str">
            <v>UNIDAD</v>
          </cell>
          <cell r="E268">
            <v>24185.937600000001</v>
          </cell>
        </row>
        <row r="269">
          <cell r="A269">
            <v>1101210035</v>
          </cell>
          <cell r="B269">
            <v>2716617035</v>
          </cell>
          <cell r="C269" t="str">
            <v>BRAZO FREEFLAP MINI A H:250 1.3-3.8 KG</v>
          </cell>
          <cell r="D269" t="str">
            <v>JUEGO</v>
          </cell>
          <cell r="E269">
            <v>136493.77103999999</v>
          </cell>
        </row>
        <row r="270">
          <cell r="A270">
            <v>1101210036</v>
          </cell>
          <cell r="B270">
            <v>2716627035</v>
          </cell>
          <cell r="C270" t="str">
            <v>BRAZO FREEFLAP MINI B H:300 2.4-5.1 KG</v>
          </cell>
          <cell r="D270" t="str">
            <v>JUEGO</v>
          </cell>
          <cell r="E270">
            <v>136493.77103999999</v>
          </cell>
        </row>
        <row r="271">
          <cell r="A271">
            <v>1101210080</v>
          </cell>
          <cell r="B271">
            <v>2716637035</v>
          </cell>
          <cell r="C271" t="str">
            <v>BRAZO FREEFLAP MINI C H:400 3.2-7.0 KG</v>
          </cell>
          <cell r="D271" t="str">
            <v>JUEGO</v>
          </cell>
          <cell r="E271">
            <v>136493.77103999999</v>
          </cell>
        </row>
        <row r="272">
          <cell r="A272">
            <v>1101210081</v>
          </cell>
          <cell r="B272">
            <v>2716647035</v>
          </cell>
          <cell r="C272" t="str">
            <v>BRAZO FREEFLAP FORTE D H:500 3.7-7.6 KG</v>
          </cell>
          <cell r="D272" t="str">
            <v>JUEGO</v>
          </cell>
          <cell r="E272">
            <v>179357.28624000002</v>
          </cell>
        </row>
        <row r="273">
          <cell r="A273">
            <v>1101210082</v>
          </cell>
          <cell r="B273">
            <v>2716667035</v>
          </cell>
          <cell r="C273" t="str">
            <v>BRAZO FREEFLAP FORTE F H:625 5.5-11.6 KG</v>
          </cell>
          <cell r="D273" t="str">
            <v>JUEGO</v>
          </cell>
          <cell r="E273">
            <v>196533.33333333334</v>
          </cell>
        </row>
        <row r="274">
          <cell r="A274">
            <v>1101210152</v>
          </cell>
          <cell r="B274">
            <v>2716677035</v>
          </cell>
          <cell r="C274" t="str">
            <v>BRAZO FREEFLAP FORTE G H:650 6.9-14 KG (102401)</v>
          </cell>
          <cell r="D274" t="str">
            <v>JUEGO</v>
          </cell>
          <cell r="E274">
            <v>196533.33333333334</v>
          </cell>
        </row>
        <row r="275">
          <cell r="A275">
            <v>1101210098</v>
          </cell>
          <cell r="B275" t="str">
            <v>2719137035-1</v>
          </cell>
          <cell r="C275" t="str">
            <v>BRAZO FREESLIDE H:430-600MM 2.6-5.5 KG</v>
          </cell>
          <cell r="D275" t="str">
            <v>JUEGO</v>
          </cell>
          <cell r="E275">
            <v>497682.86832000007</v>
          </cell>
        </row>
        <row r="276">
          <cell r="A276">
            <v>1101210046</v>
          </cell>
          <cell r="B276" t="str">
            <v>2719147035-1</v>
          </cell>
          <cell r="C276" t="str">
            <v>BRAZO FREESLIDE H:430-600MM 5.0-9.7 KG</v>
          </cell>
          <cell r="D276" t="str">
            <v>JUEGO</v>
          </cell>
          <cell r="E276">
            <v>511675.79759999993</v>
          </cell>
        </row>
        <row r="277">
          <cell r="A277">
            <v>1101210134</v>
          </cell>
          <cell r="B277" t="str">
            <v>2719157035-1</v>
          </cell>
          <cell r="C277" t="str">
            <v>BRAZO FREESLIDE H:430-600MM 7.4-14.6 KG</v>
          </cell>
          <cell r="D277" t="str">
            <v>JUEGO</v>
          </cell>
          <cell r="E277">
            <v>582340.42943999998</v>
          </cell>
        </row>
        <row r="278">
          <cell r="A278">
            <v>1101210097</v>
          </cell>
          <cell r="B278">
            <v>2719200038</v>
          </cell>
          <cell r="C278" t="str">
            <v>BARRA ESTABILIZADORA TRANSVERSAL 900MM</v>
          </cell>
          <cell r="D278" t="str">
            <v>UNIDAD</v>
          </cell>
          <cell r="E278">
            <v>22150.386719999999</v>
          </cell>
        </row>
        <row r="279">
          <cell r="A279">
            <v>1101210023</v>
          </cell>
          <cell r="B279">
            <v>2719220038</v>
          </cell>
          <cell r="C279" t="str">
            <v>BARRA ESTABILIZADORA TRANSVERSAL 1200MM</v>
          </cell>
          <cell r="D279" t="str">
            <v>UNIDAD</v>
          </cell>
          <cell r="E279">
            <v>21670.735680000002</v>
          </cell>
        </row>
        <row r="280">
          <cell r="A280">
            <v>1101210109</v>
          </cell>
          <cell r="B280">
            <v>2719587040</v>
          </cell>
          <cell r="C280" t="str">
            <v>LIMITADOR DE ANGULO  DE APERTURA  FREEFOLD</v>
          </cell>
          <cell r="D280" t="str">
            <v>UNIDAD</v>
          </cell>
          <cell r="E280">
            <v>11374.339679999999</v>
          </cell>
        </row>
        <row r="281">
          <cell r="A281">
            <v>1161910134</v>
          </cell>
          <cell r="B281">
            <v>271115</v>
          </cell>
          <cell r="C281" t="str">
            <v>BARRA ESTABILIZADORA TRANSVERSAL 900MM</v>
          </cell>
          <cell r="D281" t="str">
            <v>UNIDAD</v>
          </cell>
          <cell r="E281">
            <v>33892.515359999998</v>
          </cell>
        </row>
        <row r="282">
          <cell r="A282">
            <v>1101210131</v>
          </cell>
          <cell r="B282" t="str">
            <v>2719699966-1</v>
          </cell>
          <cell r="C282" t="str">
            <v>KIT  MOTOR ETOUCHE FREEFOLD</v>
          </cell>
          <cell r="D282" t="str">
            <v>JUEGO</v>
          </cell>
          <cell r="E282">
            <v>2787221.6856</v>
          </cell>
        </row>
        <row r="283">
          <cell r="A283">
            <v>1101210133</v>
          </cell>
          <cell r="B283" t="str">
            <v>2719637035-1</v>
          </cell>
          <cell r="C283" t="str">
            <v>KIT  MOTOR ETOUCHE FREEFLAP</v>
          </cell>
          <cell r="D283" t="str">
            <v>JUEGO</v>
          </cell>
          <cell r="E283">
            <v>2712270.70224</v>
          </cell>
        </row>
        <row r="284">
          <cell r="A284">
            <v>1101210132</v>
          </cell>
          <cell r="B284" t="str">
            <v>2719719966-1</v>
          </cell>
          <cell r="C284" t="str">
            <v>KIT  MOTOR ETOUCHE FREESLIDE</v>
          </cell>
          <cell r="D284" t="str">
            <v>JUEGO</v>
          </cell>
          <cell r="E284">
            <v>2803506.0926399999</v>
          </cell>
        </row>
        <row r="285">
          <cell r="A285">
            <v>1101210154</v>
          </cell>
          <cell r="C285" t="str">
            <v>BRAZO FREELIGHT TIPO A</v>
          </cell>
          <cell r="D285" t="str">
            <v>UNIDAD</v>
          </cell>
          <cell r="E285">
            <v>55468.799999999996</v>
          </cell>
        </row>
        <row r="286">
          <cell r="A286">
            <v>1101210155</v>
          </cell>
          <cell r="C286" t="str">
            <v>BRAZO FREELIGHT TIPO B</v>
          </cell>
          <cell r="D286" t="str">
            <v>UNIDAD</v>
          </cell>
          <cell r="E286">
            <v>55468.799999999996</v>
          </cell>
        </row>
        <row r="287">
          <cell r="A287">
            <v>1101210156</v>
          </cell>
          <cell r="C287" t="str">
            <v>BRAZO FREELIGHT TIPO C</v>
          </cell>
          <cell r="D287" t="str">
            <v>UNIDAD</v>
          </cell>
          <cell r="E287">
            <v>55468.799999999996</v>
          </cell>
        </row>
        <row r="288">
          <cell r="A288">
            <v>1101210157</v>
          </cell>
          <cell r="C288" t="str">
            <v>BRAZO FREELIGHT TIPO D</v>
          </cell>
          <cell r="D288" t="str">
            <v>UNIDAD</v>
          </cell>
          <cell r="E288">
            <v>55468.799999999996</v>
          </cell>
        </row>
        <row r="289">
          <cell r="A289">
            <v>1101210012</v>
          </cell>
          <cell r="B289" t="str">
            <v>42401013NN-1</v>
          </cell>
          <cell r="C289" t="str">
            <v>PISTON A GAS COMPACT SOFT STOP L164 H:230-300 50N</v>
          </cell>
          <cell r="D289" t="str">
            <v>UNIDAD</v>
          </cell>
          <cell r="E289">
            <v>48872.635199999997</v>
          </cell>
        </row>
        <row r="290">
          <cell r="A290">
            <v>1101210041</v>
          </cell>
          <cell r="B290" t="str">
            <v>42402013NN-1</v>
          </cell>
          <cell r="C290" t="str">
            <v>PISTON A GAS COMPACT SOFT STOP L164 H:230-300 80N</v>
          </cell>
          <cell r="D290" t="str">
            <v>UNIDAD</v>
          </cell>
          <cell r="E290">
            <v>48872.635199999997</v>
          </cell>
        </row>
        <row r="291">
          <cell r="A291">
            <v>1101210018</v>
          </cell>
          <cell r="B291" t="str">
            <v>42410013NN-1</v>
          </cell>
          <cell r="C291" t="str">
            <v>PISTON A GAS COMPACT SOFT STOP L244 H:300-450 50N</v>
          </cell>
          <cell r="D291" t="str">
            <v>UNIDAD</v>
          </cell>
          <cell r="E291">
            <v>45607.68</v>
          </cell>
        </row>
        <row r="292">
          <cell r="A292">
            <v>1101210019</v>
          </cell>
          <cell r="B292" t="str">
            <v>42412013NN-1</v>
          </cell>
          <cell r="C292" t="str">
            <v>PISTON A GAS COMPACT SOFT STOP L244 H:300-550 80N</v>
          </cell>
          <cell r="D292" t="str">
            <v>UNIDAD</v>
          </cell>
          <cell r="E292">
            <v>45607.68</v>
          </cell>
        </row>
        <row r="293">
          <cell r="A293">
            <v>1101210016</v>
          </cell>
          <cell r="B293" t="str">
            <v>42413013NN-1</v>
          </cell>
          <cell r="C293" t="str">
            <v>PISTON A GAS COMPACT SOFT STOP L244 H:350-550 100N</v>
          </cell>
          <cell r="D293" t="str">
            <v>UNIDAD</v>
          </cell>
          <cell r="E293">
            <v>45607.68</v>
          </cell>
        </row>
        <row r="294">
          <cell r="A294">
            <v>1101210017</v>
          </cell>
          <cell r="B294" t="str">
            <v>42414013NN-1</v>
          </cell>
          <cell r="C294" t="str">
            <v>PISTON A GAS COMPACT SOFT STOP L244 H:400-600 120N</v>
          </cell>
          <cell r="D294" t="str">
            <v>UNIDAD</v>
          </cell>
          <cell r="E294">
            <v>45607.68</v>
          </cell>
        </row>
        <row r="295">
          <cell r="A295">
            <v>1101210022</v>
          </cell>
          <cell r="B295" t="str">
            <v>42302010NN-1</v>
          </cell>
          <cell r="C295" t="str">
            <v>PISTON A GAS COMPACT FRICCIONADO L164 H:251-300 60N</v>
          </cell>
          <cell r="D295" t="str">
            <v>UNIDAD</v>
          </cell>
          <cell r="E295">
            <v>64437.796800000004</v>
          </cell>
        </row>
        <row r="296">
          <cell r="A296">
            <v>1101210011</v>
          </cell>
          <cell r="B296" t="str">
            <v>42303010NN-1</v>
          </cell>
          <cell r="C296" t="str">
            <v>PISTON A GAS COMPACT FRICCIONADO L164 H:251-300 90N</v>
          </cell>
          <cell r="D296" t="str">
            <v>UNIDAD</v>
          </cell>
          <cell r="E296">
            <v>64437.796800000004</v>
          </cell>
        </row>
        <row r="297">
          <cell r="A297">
            <v>1101210013</v>
          </cell>
          <cell r="B297" t="str">
            <v>42311010NN-1</v>
          </cell>
          <cell r="C297" t="str">
            <v>PISTON A GAS COMPACT FRICCIONADO L244 H:300-350 45N</v>
          </cell>
          <cell r="D297" t="str">
            <v>UNIDAD</v>
          </cell>
          <cell r="E297">
            <v>57581.236800000006</v>
          </cell>
        </row>
        <row r="298">
          <cell r="A298">
            <v>1101210015</v>
          </cell>
          <cell r="B298" t="str">
            <v>42312010NN-1</v>
          </cell>
          <cell r="C298" t="str">
            <v>PISTON A GAS COMPACT FRICCIONADO L244 H:351-450 60N</v>
          </cell>
          <cell r="D298" t="str">
            <v>UNIDAD</v>
          </cell>
          <cell r="E298">
            <v>57581.236800000006</v>
          </cell>
        </row>
        <row r="299">
          <cell r="A299">
            <v>1101210014</v>
          </cell>
          <cell r="B299" t="str">
            <v>42313010NN-1</v>
          </cell>
          <cell r="C299" t="str">
            <v>PISTON A GAS COMPACT FRICCIONADO L244 H:451-500 90N</v>
          </cell>
          <cell r="D299" t="str">
            <v>UNIDAD</v>
          </cell>
          <cell r="E299">
            <v>57581.236800000006</v>
          </cell>
        </row>
        <row r="300">
          <cell r="A300">
            <v>1101210139</v>
          </cell>
          <cell r="B300" t="str">
            <v>42331010NN-1</v>
          </cell>
          <cell r="C300" t="str">
            <v>KIT  PISTON GAS COMPACT FRICCIONADO L355 N60</v>
          </cell>
          <cell r="D300" t="str">
            <v>UNDIDAD</v>
          </cell>
          <cell r="E300">
            <v>73907.553599999999</v>
          </cell>
        </row>
        <row r="301">
          <cell r="A301">
            <v>1101210021</v>
          </cell>
          <cell r="B301" t="str">
            <v>42332010NN-1</v>
          </cell>
          <cell r="C301" t="str">
            <v>PISTON A GAS COMPACT FRICCIONADO L355 H:551-600 90N</v>
          </cell>
          <cell r="D301" t="str">
            <v>UNIDAD</v>
          </cell>
          <cell r="E301">
            <v>73907.553599999999</v>
          </cell>
        </row>
        <row r="302">
          <cell r="A302">
            <v>1101210020</v>
          </cell>
          <cell r="B302" t="str">
            <v>42333010NN-1</v>
          </cell>
          <cell r="C302" t="str">
            <v>PISTÓN A GAS COMPACT FRICCIONADO L355 H:601-700 120N</v>
          </cell>
          <cell r="D302" t="str">
            <v>UNIDAD</v>
          </cell>
          <cell r="E302">
            <v>73907.553599999999</v>
          </cell>
        </row>
        <row r="303">
          <cell r="A303">
            <v>1101210078</v>
          </cell>
          <cell r="B303" t="str">
            <v>42352010NN-1</v>
          </cell>
          <cell r="C303" t="str">
            <v>PISTÓN A GAS COMPACT FRICCIONADO L480 H:601-650 90N</v>
          </cell>
          <cell r="D303" t="str">
            <v>UNIDAD</v>
          </cell>
          <cell r="E303">
            <v>107649.5328</v>
          </cell>
        </row>
        <row r="304">
          <cell r="A304">
            <v>1101210077</v>
          </cell>
          <cell r="B304" t="str">
            <v>42353010NN-1</v>
          </cell>
          <cell r="C304" t="str">
            <v>PISTÓN A GAS COMPACT FRICCIONADO L480 H:651-700 120N</v>
          </cell>
          <cell r="D304" t="str">
            <v>UNIDAD</v>
          </cell>
          <cell r="E304">
            <v>107649.5328</v>
          </cell>
        </row>
        <row r="305">
          <cell r="A305">
            <v>1101210009</v>
          </cell>
          <cell r="B305" t="str">
            <v>42501010NN-1</v>
          </cell>
          <cell r="C305" t="str">
            <v xml:space="preserve">PISTON A GAS COMPACT  ABATIBLE  L164 H:225-250 </v>
          </cell>
          <cell r="D305" t="str">
            <v>UNIDAD</v>
          </cell>
          <cell r="E305">
            <v>59320.799999999996</v>
          </cell>
        </row>
        <row r="306">
          <cell r="A306">
            <v>1101210010</v>
          </cell>
          <cell r="B306" t="str">
            <v>42510010NN-1</v>
          </cell>
          <cell r="C306" t="str">
            <v xml:space="preserve">PISTON A GAS COMPACT  ABATIBLE  L244 H:300-500 </v>
          </cell>
          <cell r="D306" t="str">
            <v>UNIDAD</v>
          </cell>
          <cell r="E306">
            <v>61063.444800000005</v>
          </cell>
        </row>
        <row r="307">
          <cell r="A307">
            <v>1161210083</v>
          </cell>
          <cell r="B307" t="str">
            <v>425330010NN-1</v>
          </cell>
          <cell r="C307" t="str">
            <v xml:space="preserve">PISTON A GAS COMPACT  ABATIBLE  L355 H:400-500 </v>
          </cell>
          <cell r="D307" t="str">
            <v>UNIDAD</v>
          </cell>
          <cell r="E307">
            <v>72166.449600000007</v>
          </cell>
        </row>
        <row r="308">
          <cell r="A308">
            <v>1101210159</v>
          </cell>
          <cell r="C308" t="str">
            <v>PERFIL ALUMINIO PARA SISTEMA KIARO T.MET</v>
          </cell>
          <cell r="D308" t="str">
            <v>UNIDAD</v>
          </cell>
          <cell r="E308">
            <v>6532.9919999999993</v>
          </cell>
        </row>
        <row r="309">
          <cell r="A309">
            <v>1101210158</v>
          </cell>
          <cell r="C309" t="str">
            <v>SISTEMA APERTURA PUERTA ABATIBLE KIARO T.MET</v>
          </cell>
          <cell r="D309" t="str">
            <v>UNIDAD</v>
          </cell>
          <cell r="E309">
            <v>166535.8272</v>
          </cell>
        </row>
        <row r="310">
          <cell r="A310">
            <v>1161210035</v>
          </cell>
          <cell r="B310" t="str">
            <v>779690-001</v>
          </cell>
          <cell r="C310" t="str">
            <v>CURVA PARA PERSIANA ARMABLE</v>
          </cell>
          <cell r="D310" t="str">
            <v>UNIDAD</v>
          </cell>
          <cell r="E310">
            <v>5063.0688</v>
          </cell>
        </row>
        <row r="311">
          <cell r="A311">
            <v>1161210034</v>
          </cell>
          <cell r="B311" t="str">
            <v>779680-001</v>
          </cell>
          <cell r="C311" t="str">
            <v>GUIA FRENO PARA PERSIANA ARMABLE</v>
          </cell>
          <cell r="D311" t="str">
            <v>UNIDAD</v>
          </cell>
          <cell r="E311">
            <v>11779.415999999999</v>
          </cell>
        </row>
        <row r="312">
          <cell r="A312">
            <v>1111310119</v>
          </cell>
          <cell r="B312" t="str">
            <v>779370-001</v>
          </cell>
          <cell r="C312" t="str">
            <v>RIEL FRENO 2,50 MT</v>
          </cell>
          <cell r="D312" t="str">
            <v>M.LINEAL</v>
          </cell>
          <cell r="E312">
            <v>5554.5839999999998</v>
          </cell>
        </row>
        <row r="313">
          <cell r="A313">
            <v>1161210033</v>
          </cell>
          <cell r="B313" t="str">
            <v>779250-002</v>
          </cell>
          <cell r="C313" t="str">
            <v>TIRA DE PERSIANA ARMABLE 250 CTM COLOR ALUMINIO</v>
          </cell>
          <cell r="D313" t="str">
            <v>TIRA</v>
          </cell>
          <cell r="E313">
            <v>251591.06880000001</v>
          </cell>
        </row>
        <row r="314">
          <cell r="A314">
            <v>1111310104</v>
          </cell>
          <cell r="B314" t="str">
            <v>779360-002</v>
          </cell>
          <cell r="C314" t="str">
            <v>PERFIL CIERRE 1.25 MT ALUMINIO</v>
          </cell>
          <cell r="D314" t="str">
            <v>TIRA 1.25MT</v>
          </cell>
          <cell r="E314">
            <v>8759.4480000000003</v>
          </cell>
        </row>
        <row r="315">
          <cell r="A315">
            <v>1111310103</v>
          </cell>
          <cell r="B315" t="str">
            <v>779340-002</v>
          </cell>
          <cell r="C315" t="str">
            <v>PERFIL BASE 1.25 MT ALUMINIO</v>
          </cell>
          <cell r="D315" t="str">
            <v>TIRA 1.25MT</v>
          </cell>
          <cell r="E315">
            <v>93659.068800000008</v>
          </cell>
        </row>
        <row r="316">
          <cell r="A316">
            <v>1161010017</v>
          </cell>
          <cell r="B316">
            <v>45026</v>
          </cell>
          <cell r="C316" t="str">
            <v>ADAPTADORES LIFT UP PARA GRUESO PUERTA 18/19</v>
          </cell>
          <cell r="D316" t="str">
            <v>UNIDAD</v>
          </cell>
          <cell r="E316">
            <v>76936.704768000011</v>
          </cell>
        </row>
        <row r="317">
          <cell r="A317">
            <v>1111310120</v>
          </cell>
          <cell r="B317">
            <v>9136103</v>
          </cell>
          <cell r="C317" t="str">
            <v xml:space="preserve">JUEGO SYSLINE S 1 ARMARIO 2 PUERTAS </v>
          </cell>
          <cell r="D317" t="str">
            <v>JUEGO</v>
          </cell>
          <cell r="E317">
            <v>175396.96799999999</v>
          </cell>
        </row>
        <row r="318">
          <cell r="A318">
            <v>1111310099</v>
          </cell>
          <cell r="B318">
            <v>9145851</v>
          </cell>
          <cell r="C318" t="str">
            <v>PERFIL DE RODADURA 2000MM SYSLINE S 110</v>
          </cell>
          <cell r="D318" t="str">
            <v>1 TIRA 2 MT</v>
          </cell>
          <cell r="E318">
            <v>29262.873600000003</v>
          </cell>
        </row>
        <row r="319">
          <cell r="A319">
            <v>1111310122</v>
          </cell>
          <cell r="B319">
            <v>70968</v>
          </cell>
          <cell r="C319" t="str">
            <v>WING LINE IZQUIERDO 770 / ALTURA 2200MM</v>
          </cell>
          <cell r="D319" t="str">
            <v>UNIDAD</v>
          </cell>
          <cell r="E319">
            <v>163178.424</v>
          </cell>
        </row>
        <row r="320">
          <cell r="A320">
            <v>1111310121</v>
          </cell>
          <cell r="B320">
            <v>70969</v>
          </cell>
          <cell r="C320" t="str">
            <v>WING LINE DERECHO 770 / ALTURA 2200MM</v>
          </cell>
          <cell r="D320" t="str">
            <v>UNIDAD</v>
          </cell>
          <cell r="E320">
            <v>163178.424</v>
          </cell>
        </row>
        <row r="321">
          <cell r="A321">
            <v>1111310102</v>
          </cell>
          <cell r="B321">
            <v>72919</v>
          </cell>
          <cell r="C321" t="str">
            <v>PERFIL GUIA WING LINE INFERIOR 770/780 - 2000MM</v>
          </cell>
          <cell r="D321" t="str">
            <v>1 TIRA 2 MT</v>
          </cell>
          <cell r="E321">
            <v>40221.0432</v>
          </cell>
        </row>
        <row r="322">
          <cell r="A322">
            <v>1111310100</v>
          </cell>
          <cell r="B322">
            <v>1079089</v>
          </cell>
          <cell r="C322" t="str">
            <v>PERFIL DE RODADURA WING LINE 770 -2000MM</v>
          </cell>
          <cell r="D322" t="str">
            <v>1 TIRA 2 MT</v>
          </cell>
          <cell r="E322">
            <v>98303.039999999994</v>
          </cell>
        </row>
        <row r="323">
          <cell r="A323">
            <v>1161910184</v>
          </cell>
          <cell r="C323" t="str">
            <v>HERRAJE HAWA CONCEPTA 30 MADERA  PARA UNA PUERTA-SE TRAE SOLAMENTE BAJO PEDIDO</v>
          </cell>
          <cell r="D323" t="str">
            <v>SET</v>
          </cell>
          <cell r="E323">
            <v>4707144</v>
          </cell>
        </row>
        <row r="324">
          <cell r="A324">
            <v>1161910137</v>
          </cell>
          <cell r="B324">
            <v>48078</v>
          </cell>
          <cell r="C324" t="str">
            <v>SET HORIZON PLUS H:2570 ANCHO 475 MM SILEN SYSTEM - INCLUYE BARRA ESTABILIZADORA</v>
          </cell>
          <cell r="D324" t="str">
            <v>UNIDAD</v>
          </cell>
          <cell r="E324">
            <v>1890022.32</v>
          </cell>
        </row>
        <row r="325">
          <cell r="A325">
            <v>1161220007</v>
          </cell>
          <cell r="B325">
            <v>9209218</v>
          </cell>
          <cell r="C325" t="str">
            <v>SLIDELINE M SETS DE PERFILES 18 /4000MM PLATA: 2 PERFILES</v>
          </cell>
          <cell r="D325" t="str">
            <v>SET</v>
          </cell>
          <cell r="E325">
            <v>636498.80985600001</v>
          </cell>
        </row>
        <row r="326">
          <cell r="A326">
            <v>1161220008</v>
          </cell>
          <cell r="B326">
            <v>9209278</v>
          </cell>
          <cell r="C326" t="str">
            <v>SET DECORATIVO PARA PERFILES DE RODADURASLINDELINE M, 18, plata, 4000</v>
          </cell>
          <cell r="D326" t="str">
            <v>SET</v>
          </cell>
          <cell r="E326">
            <v>99256.856832000005</v>
          </cell>
        </row>
        <row r="327">
          <cell r="A327">
            <v>1101110110</v>
          </cell>
          <cell r="B327">
            <v>9156338</v>
          </cell>
          <cell r="C327" t="str">
            <v xml:space="preserve">SET DE HERRAJES PARA PUERTAS AMORTIGUADAS SL M SET SILENT SYSTEM </v>
          </cell>
          <cell r="D327" t="str">
            <v>SET</v>
          </cell>
          <cell r="E327">
            <v>503882.52364799991</v>
          </cell>
        </row>
        <row r="328">
          <cell r="A328">
            <v>1102010026</v>
          </cell>
          <cell r="B328">
            <v>49910005</v>
          </cell>
          <cell r="C328" t="str">
            <v>CORBATERO EXTRAIBLE An.130xProf.540xAlt.90 MM</v>
          </cell>
          <cell r="D328" t="str">
            <v>UNIDAD</v>
          </cell>
          <cell r="E328">
            <v>127354.82399999998</v>
          </cell>
        </row>
        <row r="329">
          <cell r="A329">
            <v>1102010026</v>
          </cell>
          <cell r="B329">
            <v>50040005</v>
          </cell>
          <cell r="C329" t="str">
            <v>CORBATERO An.320xProf.160xAlt.25 MM</v>
          </cell>
          <cell r="D329" t="str">
            <v>UNIDAD</v>
          </cell>
          <cell r="E329">
            <v>47886.523199999996</v>
          </cell>
        </row>
        <row r="330">
          <cell r="A330">
            <v>1102010027</v>
          </cell>
          <cell r="B330">
            <v>50050005</v>
          </cell>
          <cell r="C330" t="str">
            <v>CORBATERO Y CINTURONERO An.255xProf.70xAlt.300 MM</v>
          </cell>
          <cell r="D330" t="str">
            <v>UNIDAD</v>
          </cell>
          <cell r="E330">
            <v>54667.584000000003</v>
          </cell>
        </row>
        <row r="331">
          <cell r="A331">
            <v>110201037</v>
          </cell>
          <cell r="B331" t="str">
            <v>F25150</v>
          </cell>
          <cell r="C331" t="str">
            <v>CORBATERO Y CINTURONERO An.255xProf.70xAlt.300 MM</v>
          </cell>
          <cell r="D331" t="str">
            <v>UNIDAD</v>
          </cell>
          <cell r="E331">
            <v>54667.584000000003</v>
          </cell>
        </row>
        <row r="332">
          <cell r="A332">
            <v>1102010028</v>
          </cell>
          <cell r="B332">
            <v>49610005</v>
          </cell>
          <cell r="C332" t="str">
            <v>PANTALONERO EXTRAIBLE 3 P. An.222xProf.455xAlt.72 MM</v>
          </cell>
          <cell r="D332" t="str">
            <v>UNIDAD</v>
          </cell>
          <cell r="E332">
            <v>69089.471999999994</v>
          </cell>
        </row>
        <row r="333">
          <cell r="A333">
            <v>1102010030</v>
          </cell>
          <cell r="B333">
            <v>50080005</v>
          </cell>
          <cell r="C333" t="str">
            <v>PANTALONERO EXTRAIBLE 3 P.  An500xProf.265xAlt.315 MM</v>
          </cell>
          <cell r="D333" t="str">
            <v>UNIDAD</v>
          </cell>
          <cell r="E333">
            <v>258931.44000000003</v>
          </cell>
        </row>
        <row r="334">
          <cell r="A334">
            <v>1102010032</v>
          </cell>
          <cell r="B334">
            <v>69070102</v>
          </cell>
          <cell r="C334" t="str">
            <v>LISTON PARA ZAPATOS An.420xProf.50xAlt.225 MM</v>
          </cell>
          <cell r="D334" t="str">
            <v>UNIDAD</v>
          </cell>
          <cell r="E334">
            <v>25646.615999999998</v>
          </cell>
        </row>
        <row r="335">
          <cell r="A335">
            <v>1102010034</v>
          </cell>
          <cell r="B335">
            <v>91500005</v>
          </cell>
          <cell r="C335" t="str">
            <v>SISTEMA ROTATORIO PARA EL BAÑO An490xProf.246xAlt.50 MM</v>
          </cell>
          <cell r="D335" t="str">
            <v>JUEGO</v>
          </cell>
          <cell r="E335">
            <v>1099268.352</v>
          </cell>
        </row>
        <row r="336">
          <cell r="A336">
            <v>1112010018</v>
          </cell>
          <cell r="B336">
            <v>45198</v>
          </cell>
          <cell r="C336" t="str">
            <v>HERRAJE ENDEREZADOR PARA PUERTAS</v>
          </cell>
          <cell r="D336" t="str">
            <v>UNIDAD</v>
          </cell>
          <cell r="E336">
            <v>82687.031999999992</v>
          </cell>
        </row>
        <row r="337">
          <cell r="A337">
            <v>1161210050</v>
          </cell>
          <cell r="B337" t="str">
            <v>10208020YA-1</v>
          </cell>
          <cell r="C337" t="str">
            <v>SOPORTE K LINE 5MM</v>
          </cell>
          <cell r="D337" t="str">
            <v>UNIDAD</v>
          </cell>
          <cell r="E337">
            <v>405.56937599999998</v>
          </cell>
        </row>
        <row r="338">
          <cell r="A338">
            <v>1111010207</v>
          </cell>
          <cell r="B338" t="str">
            <v>10601020AB-1</v>
          </cell>
          <cell r="C338" t="str">
            <v>KIT  SOPORTE P/FLIPPER SL14</v>
          </cell>
          <cell r="D338" t="str">
            <v>KIT</v>
          </cell>
          <cell r="E338">
            <v>349.51507199999998</v>
          </cell>
        </row>
        <row r="339">
          <cell r="A339">
            <v>1111010171</v>
          </cell>
          <cell r="B339" t="str">
            <v>16019021YA-1</v>
          </cell>
          <cell r="C339" t="str">
            <v>SOPORTE DE ENTREPAÑO CRISTAL KUBIC 4-8MM NICKEL</v>
          </cell>
          <cell r="D339" t="str">
            <v>KIT</v>
          </cell>
          <cell r="E339">
            <v>3511.6372799999995</v>
          </cell>
        </row>
        <row r="340">
          <cell r="A340">
            <v>1111010033</v>
          </cell>
          <cell r="B340" t="str">
            <v>16013040YA</v>
          </cell>
          <cell r="C340" t="str">
            <v>SOPORTE DE ENTREPAÑO CRISTAL PEKI 4-10MM</v>
          </cell>
          <cell r="D340" t="str">
            <v>UNIDAD</v>
          </cell>
          <cell r="E340">
            <v>2115.2256480000001</v>
          </cell>
        </row>
        <row r="341">
          <cell r="A341">
            <v>1111010244</v>
          </cell>
          <cell r="B341" t="str">
            <v>11401030IJ-1</v>
          </cell>
          <cell r="C341" t="str">
            <v xml:space="preserve">SOPORTE PARA PK2 19MM GRIS </v>
          </cell>
          <cell r="D341" t="str">
            <v>KIT</v>
          </cell>
          <cell r="E341">
            <v>1398.0602879999999</v>
          </cell>
        </row>
        <row r="342">
          <cell r="A342">
            <v>1111010251</v>
          </cell>
          <cell r="B342" t="str">
            <v>11401070IJ-1</v>
          </cell>
          <cell r="C342" t="str">
            <v xml:space="preserve">KIT SOPORTE PARA PK2 29MM GRIS </v>
          </cell>
          <cell r="D342" t="str">
            <v>KIT</v>
          </cell>
          <cell r="E342">
            <v>1762.4132639999998</v>
          </cell>
        </row>
        <row r="343">
          <cell r="A343">
            <v>1111010263</v>
          </cell>
          <cell r="B343" t="str">
            <v>23002010AB</v>
          </cell>
          <cell r="C343" t="str">
            <v>CAP CUBIERTA PARA D.8 MM PLANA AGUJERO BEIGE</v>
          </cell>
          <cell r="D343" t="str">
            <v>UNIDAD</v>
          </cell>
        </row>
        <row r="344">
          <cell r="A344">
            <v>1111010032</v>
          </cell>
          <cell r="B344" t="str">
            <v>10701010YA</v>
          </cell>
          <cell r="C344" t="str">
            <v>INSERTO PLAST/METALICO ROSCA NIQ./ PLAT UNICO</v>
          </cell>
          <cell r="D344" t="str">
            <v>UNIDAD</v>
          </cell>
          <cell r="E344">
            <v>1165.599792</v>
          </cell>
        </row>
        <row r="345">
          <cell r="A345">
            <v>1111010041</v>
          </cell>
          <cell r="B345" t="str">
            <v>16220080JM</v>
          </cell>
          <cell r="C345" t="str">
            <v>SOPORTE REPIZA CRISTAL KALABRONE MINI 5-10MM</v>
          </cell>
          <cell r="D345" t="str">
            <v>UNIDAD</v>
          </cell>
          <cell r="E345">
            <v>9783.1247040000017</v>
          </cell>
        </row>
        <row r="346">
          <cell r="A346">
            <v>1111010042</v>
          </cell>
          <cell r="B346" t="str">
            <v>16220010JM</v>
          </cell>
          <cell r="C346" t="str">
            <v>SOPORTE REPIZA CRIS/MADERA KALABRONE 8-30MM</v>
          </cell>
          <cell r="D346" t="str">
            <v>JUEGO</v>
          </cell>
          <cell r="E346">
            <v>65243.912543999999</v>
          </cell>
        </row>
        <row r="347">
          <cell r="A347">
            <v>1111010034</v>
          </cell>
          <cell r="B347" t="str">
            <v>16220030JM</v>
          </cell>
          <cell r="C347" t="str">
            <v>SOPORTE REPIZA MADERA KALABRONE MAXI 25 - 50 MM</v>
          </cell>
          <cell r="D347" t="str">
            <v>JUEGO</v>
          </cell>
          <cell r="E347">
            <v>74189.52</v>
          </cell>
        </row>
        <row r="348">
          <cell r="A348">
            <v>1111010027</v>
          </cell>
          <cell r="B348" t="str">
            <v>1621401000-1</v>
          </cell>
          <cell r="C348" t="str">
            <v>SOPORTE REPIZA MADERA TRIADE MINI 4KG</v>
          </cell>
          <cell r="D348" t="str">
            <v>UNIDAD</v>
          </cell>
          <cell r="E348">
            <v>43966.358207999998</v>
          </cell>
        </row>
        <row r="349">
          <cell r="A349">
            <v>1111010028</v>
          </cell>
          <cell r="B349" t="str">
            <v>1621501000-1</v>
          </cell>
          <cell r="C349" t="str">
            <v>SOPORTE REPIZA MADERA TRIADE 15KG</v>
          </cell>
          <cell r="D349" t="str">
            <v>UNIDAD</v>
          </cell>
          <cell r="E349">
            <v>38026.250640000006</v>
          </cell>
        </row>
        <row r="350">
          <cell r="A350">
            <v>1111010055</v>
          </cell>
          <cell r="B350" t="str">
            <v>11702010YA-12</v>
          </cell>
          <cell r="C350" t="str">
            <v>SOPORTE DE ENTEPAÑO MAORI- NIKEL PLATA 12 MM</v>
          </cell>
          <cell r="D350" t="str">
            <v>UNIDAD</v>
          </cell>
          <cell r="E350">
            <v>699.03014399999995</v>
          </cell>
        </row>
        <row r="351">
          <cell r="A351">
            <v>1111010050</v>
          </cell>
          <cell r="B351" t="str">
            <v>11704010YA-15</v>
          </cell>
          <cell r="C351" t="str">
            <v>SOPORTE DE ENTEPAÑO MAORI- NIKEL PLATA 15 MM</v>
          </cell>
          <cell r="D351" t="str">
            <v>UNIDAD</v>
          </cell>
          <cell r="E351">
            <v>802.89547200000004</v>
          </cell>
        </row>
        <row r="352">
          <cell r="A352">
            <v>1111010168</v>
          </cell>
          <cell r="B352" t="str">
            <v>11710010YA-19</v>
          </cell>
          <cell r="C352" t="str">
            <v>SOPORTE DE ENTEPAÑO MAORI- NIKEL PLATA 19 MM</v>
          </cell>
          <cell r="D352" t="str">
            <v>UNIDAD</v>
          </cell>
          <cell r="E352">
            <v>816.08472000000017</v>
          </cell>
        </row>
        <row r="353">
          <cell r="A353">
            <v>1111010026</v>
          </cell>
          <cell r="B353" t="str">
            <v>63420010ZN-1</v>
          </cell>
          <cell r="C353" t="str">
            <v xml:space="preserve">COLGADOR DE ARMARIO LIBRA H1 </v>
          </cell>
          <cell r="D353" t="str">
            <v>UNIDAD</v>
          </cell>
          <cell r="E353">
            <v>7336.5191999999997</v>
          </cell>
        </row>
        <row r="354">
          <cell r="A354">
            <v>1111010048</v>
          </cell>
          <cell r="B354" t="str">
            <v>63450050ZN-1</v>
          </cell>
          <cell r="C354" t="str">
            <v>COLGADOR MUEBLES FLOTANTES LIBRA H6</v>
          </cell>
          <cell r="D354" t="str">
            <v>PAR</v>
          </cell>
          <cell r="E354">
            <v>58350.881808000006</v>
          </cell>
        </row>
        <row r="355">
          <cell r="A355">
            <v>1111310006</v>
          </cell>
          <cell r="B355">
            <v>6400486200</v>
          </cell>
          <cell r="C355" t="str">
            <v>PERFIL PARA LIBRA CH PARA COLGADOR LIBRA H6</v>
          </cell>
          <cell r="D355" t="str">
            <v>UNIDAD</v>
          </cell>
          <cell r="E355">
            <v>62892.929087999997</v>
          </cell>
        </row>
        <row r="356">
          <cell r="A356">
            <v>1162110023</v>
          </cell>
          <cell r="B356" t="str">
            <v>63422240ZN-1</v>
          </cell>
          <cell r="C356" t="str">
            <v xml:space="preserve">COLGADOR MUEBLES FLOTANTES LIBRA H7 </v>
          </cell>
          <cell r="D356" t="str">
            <v>PAR</v>
          </cell>
          <cell r="E356">
            <v>71742.914495999998</v>
          </cell>
        </row>
        <row r="357">
          <cell r="A357">
            <v>1111310172</v>
          </cell>
          <cell r="B357">
            <v>6700000000</v>
          </cell>
          <cell r="C357" t="str">
            <v>PERFIL EN ALUMINIO H40,2 PARA LIBRA H7 (Barra L 4000)</v>
          </cell>
          <cell r="D357" t="str">
            <v>UNIDAD</v>
          </cell>
          <cell r="E357">
            <v>39366.607968000004</v>
          </cell>
        </row>
        <row r="358">
          <cell r="A358">
            <v>1162110018</v>
          </cell>
          <cell r="B358" t="str">
            <v>63412030EA</v>
          </cell>
          <cell r="C358" t="str">
            <v>COLGADOR ESPEJOS/  35 + TORNILLO FIJACION</v>
          </cell>
          <cell r="D358" t="str">
            <v>UNIDAD</v>
          </cell>
          <cell r="E358">
            <v>3727.6112159999998</v>
          </cell>
        </row>
        <row r="359">
          <cell r="A359">
            <v>1111210001</v>
          </cell>
          <cell r="B359" t="str">
            <v>23203010ZZ</v>
          </cell>
          <cell r="C359" t="str">
            <v>TOPE AMORTIGUADOR SILICONA BLANCO BI MATERIAL</v>
          </cell>
          <cell r="D359" t="str">
            <v>UNIDAD</v>
          </cell>
          <cell r="E359">
            <v>146.73038399999999</v>
          </cell>
        </row>
        <row r="360">
          <cell r="A360">
            <v>1111010024</v>
          </cell>
          <cell r="B360">
            <v>79462</v>
          </cell>
          <cell r="C360" t="str">
            <v>CONJUNTO DE UNION MINI FIX DE 15 X 15</v>
          </cell>
          <cell r="D360" t="str">
            <v>UNIDAD</v>
          </cell>
          <cell r="E360">
            <v>369.33333333333331</v>
          </cell>
        </row>
        <row r="361">
          <cell r="A361">
            <v>1111010023</v>
          </cell>
          <cell r="B361">
            <v>79472</v>
          </cell>
          <cell r="C361" t="str">
            <v>CONJUNTO DE UNION MINI FIX DE 15 X 19</v>
          </cell>
          <cell r="D361" t="str">
            <v>UNIDAD</v>
          </cell>
          <cell r="E361">
            <v>369.33333333333331</v>
          </cell>
        </row>
        <row r="362">
          <cell r="A362">
            <v>1111010007</v>
          </cell>
          <cell r="B362">
            <v>9046182</v>
          </cell>
          <cell r="C362" t="str">
            <v>TORNILLO DE MONTAJE RÁPIDO S DU 325 / 30 MM</v>
          </cell>
          <cell r="D362" t="str">
            <v>UNIDAD</v>
          </cell>
          <cell r="E362">
            <v>338.66666666666669</v>
          </cell>
        </row>
        <row r="363">
          <cell r="A363">
            <v>1111010018</v>
          </cell>
          <cell r="B363">
            <v>20056</v>
          </cell>
          <cell r="C363" t="str">
            <v>TORNILLO PARA ROSCAR TWISTER DU 243 T/ 20 MM</v>
          </cell>
          <cell r="D363" t="str">
            <v>UNIDAD</v>
          </cell>
          <cell r="E363">
            <v>393.458688</v>
          </cell>
        </row>
        <row r="364">
          <cell r="A364">
            <v>1111010019</v>
          </cell>
          <cell r="B364">
            <v>20058</v>
          </cell>
          <cell r="C364" t="str">
            <v>TORNILLO PARA ROSCAR TWISTER DU 232 T / 30 MM</v>
          </cell>
          <cell r="D364" t="str">
            <v>UNIDAD</v>
          </cell>
          <cell r="E364">
            <v>393.458688</v>
          </cell>
        </row>
        <row r="365">
          <cell r="A365">
            <v>1111010164</v>
          </cell>
          <cell r="B365">
            <v>65519</v>
          </cell>
          <cell r="C365" t="str">
            <v>UNION ENTREPAÑO VB 36 M/16 MM PLASTICO BLANCO</v>
          </cell>
          <cell r="D365" t="str">
            <v>UNIDAD</v>
          </cell>
          <cell r="E365">
            <v>918.31679999999994</v>
          </cell>
        </row>
        <row r="366">
          <cell r="A366">
            <v>1111010002</v>
          </cell>
          <cell r="B366">
            <v>65540</v>
          </cell>
          <cell r="C366" t="str">
            <v>TORNILLO PARA ROSCA DU 328</v>
          </cell>
          <cell r="D366" t="str">
            <v>UNIDAD</v>
          </cell>
          <cell r="E366">
            <v>702.60480000000007</v>
          </cell>
        </row>
        <row r="367">
          <cell r="A367" t="str">
            <v>1111010270</v>
          </cell>
          <cell r="B367" t="str">
            <v>20103010GR-1</v>
          </cell>
          <cell r="C367" t="str">
            <v>TORNILLO  CAMA  Insert Nut M8x12x15 plain</v>
          </cell>
          <cell r="D367" t="str">
            <v>UNIDAD</v>
          </cell>
          <cell r="E367">
            <v>313.24464</v>
          </cell>
        </row>
        <row r="368">
          <cell r="A368" t="str">
            <v>1111010271</v>
          </cell>
          <cell r="C368" t="str">
            <v>TORNILLO CAMA Grub screw M6x15,3mm Zk</v>
          </cell>
          <cell r="D368" t="str">
            <v>UNIDAD</v>
          </cell>
          <cell r="E368">
            <v>408.86668800000001</v>
          </cell>
        </row>
        <row r="369">
          <cell r="A369" t="str">
            <v>1111010272</v>
          </cell>
          <cell r="C369" t="str">
            <v>""PERNO CONECTOR CAMA Connector dowel for VIS M8 d.9 L.40 hole 13,5000 30 centre 25mm Zk"</v>
          </cell>
          <cell r="D369" t="str">
            <v>UNIDAD</v>
          </cell>
          <cell r="E369">
            <v>1572.8178239999997</v>
          </cell>
        </row>
        <row r="370">
          <cell r="A370" t="str">
            <v>1111010273</v>
          </cell>
          <cell r="C370" t="str">
            <v>""BASE CONECTOR REDONDO CAMA VIS connector d.35mm, double position 26,0000 40 22mm Zk"</v>
          </cell>
          <cell r="D370" t="str">
            <v>UNIDAD</v>
          </cell>
          <cell r="E370">
            <v>3028.5810719999995</v>
          </cell>
        </row>
        <row r="371">
          <cell r="A371">
            <v>1111010274</v>
          </cell>
          <cell r="B371" t="str">
            <v>20103010GR-1</v>
          </cell>
          <cell r="C371" t="str">
            <v>KIT HERRAJE PARA CAMA VIS FIXING</v>
          </cell>
          <cell r="E371">
            <v>0</v>
          </cell>
        </row>
        <row r="372">
          <cell r="A372">
            <v>1111010037</v>
          </cell>
          <cell r="B372" t="str">
            <v>20820010YA-1</v>
          </cell>
          <cell r="C372" t="str">
            <v xml:space="preserve">TORNILLO DE CONEXIÓN </v>
          </cell>
          <cell r="D372" t="str">
            <v>JUEGO</v>
          </cell>
          <cell r="E372">
            <v>257.19033599999995</v>
          </cell>
        </row>
        <row r="373">
          <cell r="A373">
            <v>1161010048</v>
          </cell>
          <cell r="B373">
            <v>61355</v>
          </cell>
          <cell r="C373" t="str">
            <v>MATRIZ BISAGRA PARA INSERTAR INTERMAT Y SLIDEON</v>
          </cell>
          <cell r="D373" t="str">
            <v>UNIDAD</v>
          </cell>
          <cell r="E373">
            <v>189826.56000000003</v>
          </cell>
        </row>
        <row r="374">
          <cell r="A374">
            <v>1161010101</v>
          </cell>
          <cell r="B374">
            <v>9096819</v>
          </cell>
          <cell r="C374" t="str">
            <v>MATRIZ PARA INSERTAR SENSYS TH 53 y TB 53</v>
          </cell>
          <cell r="D374" t="str">
            <v>UNIDAD</v>
          </cell>
          <cell r="E374">
            <v>673021.44000000006</v>
          </cell>
        </row>
        <row r="375">
          <cell r="A375">
            <v>1161010079</v>
          </cell>
          <cell r="B375">
            <v>45555</v>
          </cell>
          <cell r="C375" t="str">
            <v>PLANTILLA PARA CAJONES INNOTECH Y ATIRA INNOFIT START</v>
          </cell>
          <cell r="D375" t="str">
            <v>UNIDAD</v>
          </cell>
          <cell r="E375">
            <v>276111.35999999999</v>
          </cell>
        </row>
        <row r="376">
          <cell r="A376">
            <v>1161010045</v>
          </cell>
          <cell r="B376">
            <v>13392</v>
          </cell>
          <cell r="C376" t="str">
            <v>PLANTILLA PARA INNOTECH H144 PRACTICA (para los frentes de cajón, galerías)</v>
          </cell>
          <cell r="D376" t="str">
            <v>UNIDAD</v>
          </cell>
          <cell r="E376">
            <v>500451.84000000003</v>
          </cell>
        </row>
        <row r="377">
          <cell r="A377">
            <v>1112010242</v>
          </cell>
          <cell r="B377">
            <v>78093</v>
          </cell>
          <cell r="C377" t="str">
            <v>PLANTILLA TOPE ANGULAR PRACTICA (para los frentes de cajón, galerías)</v>
          </cell>
          <cell r="D377" t="str">
            <v>UNIDAD</v>
          </cell>
          <cell r="E377">
            <v>673021.44000000006</v>
          </cell>
        </row>
        <row r="378">
          <cell r="A378">
            <v>1112010243</v>
          </cell>
          <cell r="B378">
            <v>9162018</v>
          </cell>
          <cell r="C378" t="str">
            <v>PLANTILLA PRACTICA PARA INNOTECH</v>
          </cell>
          <cell r="D378" t="str">
            <v>UNIDAD</v>
          </cell>
          <cell r="E378">
            <v>500451.84000000003</v>
          </cell>
        </row>
        <row r="379">
          <cell r="A379">
            <v>1161010053</v>
          </cell>
          <cell r="B379">
            <v>351</v>
          </cell>
          <cell r="C379" t="str">
            <v>PLANTILLA PARA PERFORACION DE BASE BISAGRA, CASOLETA Y RASTEX</v>
          </cell>
          <cell r="D379" t="str">
            <v>UNIDAD</v>
          </cell>
          <cell r="E379">
            <v>6902.7839999999997</v>
          </cell>
        </row>
        <row r="380">
          <cell r="A380">
            <v>1161010047</v>
          </cell>
          <cell r="B380">
            <v>45150</v>
          </cell>
          <cell r="C380" t="str">
            <v>PLANTILLA PARA MARCAR BLUEJIG BISAGRAS Y BASE</v>
          </cell>
          <cell r="D380" t="str">
            <v>UNIDAD</v>
          </cell>
          <cell r="E380">
            <v>12942.720000000001</v>
          </cell>
        </row>
        <row r="381">
          <cell r="A381">
            <v>1112010240</v>
          </cell>
          <cell r="B381">
            <v>70263</v>
          </cell>
          <cell r="C381" t="str">
            <v>GUIA UNIVERSAL ACCURA L100</v>
          </cell>
          <cell r="E381">
            <v>258854.39999999999</v>
          </cell>
        </row>
        <row r="382">
          <cell r="A382">
            <v>1112010016</v>
          </cell>
          <cell r="B382">
            <v>70267</v>
          </cell>
          <cell r="C382" t="str">
            <v>TOPE REGULABLE PARA REGLA ACURRA</v>
          </cell>
          <cell r="E382">
            <v>55222.271999999997</v>
          </cell>
        </row>
        <row r="383">
          <cell r="A383">
            <v>1161010050</v>
          </cell>
          <cell r="B383">
            <v>70265</v>
          </cell>
          <cell r="C383" t="str">
            <v>PLANTILLA PARA TALADRAR CORREDERAS</v>
          </cell>
          <cell r="E383">
            <v>153586.94399999999</v>
          </cell>
        </row>
        <row r="384">
          <cell r="A384">
            <v>1161010078</v>
          </cell>
          <cell r="C384" t="str">
            <v>PLANTILLA PARA TALADRAR DRILLJIG BISAGRA</v>
          </cell>
          <cell r="E384">
            <v>1260533.3333333333</v>
          </cell>
        </row>
        <row r="385">
          <cell r="A385">
            <v>1111510048</v>
          </cell>
          <cell r="B385">
            <v>53955</v>
          </cell>
          <cell r="C385" t="str">
            <v>BROCA  ø 35,0 MM DERECHA</v>
          </cell>
          <cell r="D385" t="str">
            <v>UNIDAD</v>
          </cell>
          <cell r="E385">
            <v>203385.60000000001</v>
          </cell>
        </row>
        <row r="386">
          <cell r="A386">
            <v>1111510314</v>
          </cell>
          <cell r="B386">
            <v>70025</v>
          </cell>
          <cell r="C386" t="str">
            <v>BROCA  ø 3,0   MM  IZQUIERDA</v>
          </cell>
          <cell r="D386" t="str">
            <v>UNIDAD</v>
          </cell>
          <cell r="E386">
            <v>265017.60000000003</v>
          </cell>
        </row>
        <row r="387">
          <cell r="A387">
            <v>1111510311</v>
          </cell>
          <cell r="B387">
            <v>53952</v>
          </cell>
          <cell r="C387" t="str">
            <v>BROCA  ø 10,0 MM IZQUIERDA</v>
          </cell>
          <cell r="D387" t="str">
            <v>UNIDAD</v>
          </cell>
          <cell r="E387">
            <v>73188</v>
          </cell>
        </row>
        <row r="388">
          <cell r="A388">
            <v>1111510192</v>
          </cell>
          <cell r="B388">
            <v>53944</v>
          </cell>
          <cell r="C388" t="str">
            <v xml:space="preserve">BROCA  ø 20,0 MM DERECHA </v>
          </cell>
          <cell r="D388" t="str">
            <v>UNIDAD</v>
          </cell>
          <cell r="E388">
            <v>189518.4</v>
          </cell>
        </row>
        <row r="389">
          <cell r="A389">
            <v>1111510302</v>
          </cell>
          <cell r="B389">
            <v>34645</v>
          </cell>
          <cell r="C389" t="str">
            <v xml:space="preserve">BROCA  ø 26,0 MM DERECHA </v>
          </cell>
          <cell r="D389" t="str">
            <v>UNIDAD</v>
          </cell>
          <cell r="E389">
            <v>184896</v>
          </cell>
        </row>
        <row r="390">
          <cell r="A390">
            <v>1111510313</v>
          </cell>
          <cell r="B390">
            <v>11001</v>
          </cell>
          <cell r="C390" t="str">
            <v xml:space="preserve">BROCA  ø 11,0/ 14,0 MM MM MAORI DERECHA </v>
          </cell>
          <cell r="D390" t="str">
            <v>UNIDAD</v>
          </cell>
          <cell r="E390">
            <v>295833.60000000003</v>
          </cell>
        </row>
        <row r="391">
          <cell r="A391">
            <v>1111310162</v>
          </cell>
          <cell r="B391" t="str">
            <v>80G12AL</v>
          </cell>
          <cell r="C391" t="str">
            <v>PERFIL GOLA HORIZONTAL  CLASSIC J ALUMINIO X 420MT</v>
          </cell>
          <cell r="D391" t="str">
            <v>METRO</v>
          </cell>
          <cell r="E391">
            <v>51466.666666666664</v>
          </cell>
        </row>
        <row r="392">
          <cell r="B392" t="str">
            <v>80G12AL</v>
          </cell>
          <cell r="C392" t="str">
            <v>PERFIL GOLA HORIZONTAL  CLASSIC J ALUMINIO X 420MT (color negro)</v>
          </cell>
          <cell r="D392" t="str">
            <v>METRO</v>
          </cell>
          <cell r="E392">
            <v>128666.66666666667</v>
          </cell>
        </row>
        <row r="393">
          <cell r="A393">
            <v>1111310163</v>
          </cell>
          <cell r="B393" t="str">
            <v>80G13AL</v>
          </cell>
          <cell r="C393" t="str">
            <v>PERFIL GOLA HORIZONTAL CLASSIC U ALUMINIO X 420MT</v>
          </cell>
          <cell r="D393" t="str">
            <v>METRO</v>
          </cell>
          <cell r="E393">
            <v>67866.666666666672</v>
          </cell>
        </row>
        <row r="394">
          <cell r="B394" t="str">
            <v>80G13AL</v>
          </cell>
          <cell r="C394" t="str">
            <v>PERFIL GOLA HORIZONTAL CLASSIC U ALUMINIO X 420MT ( color negro)</v>
          </cell>
          <cell r="D394" t="str">
            <v>METRO</v>
          </cell>
          <cell r="E394">
            <v>169666.66666666666</v>
          </cell>
        </row>
        <row r="395">
          <cell r="A395">
            <v>1111310165</v>
          </cell>
          <cell r="B395" t="str">
            <v>80G16AL/01</v>
          </cell>
          <cell r="C395" t="str">
            <v>PERFIL GOLA VERTICAL CLASSIC J SENCILLO ALUMINIO X 470MT</v>
          </cell>
          <cell r="D395" t="str">
            <v>METRO</v>
          </cell>
          <cell r="E395">
            <v>83600</v>
          </cell>
        </row>
        <row r="396">
          <cell r="B396" t="str">
            <v>80G16AL/02</v>
          </cell>
          <cell r="C396" t="str">
            <v>PERFIL GOLA VERTICAL CLASSIC J SENCILLO ALUMINIO X 470MT (color negro</v>
          </cell>
          <cell r="D396" t="str">
            <v>METRO</v>
          </cell>
          <cell r="E396">
            <v>209000</v>
          </cell>
        </row>
        <row r="397">
          <cell r="A397">
            <v>1111310164</v>
          </cell>
          <cell r="B397" t="str">
            <v>80G15AL/01</v>
          </cell>
          <cell r="C397" t="str">
            <v>PERFIL GOLA VERTICAL CLASSIC U DOBLE ALUMINIO X 470MT</v>
          </cell>
          <cell r="D397" t="str">
            <v>METRO</v>
          </cell>
          <cell r="E397">
            <v>101333.33333333333</v>
          </cell>
        </row>
        <row r="398">
          <cell r="B398" t="str">
            <v>80G15AL/02</v>
          </cell>
          <cell r="C398" t="str">
            <v>PERFIL GOLA VERTICAL CLASSIC U DOBLE ALUMINIO X 470MT (color negro)</v>
          </cell>
          <cell r="D398" t="str">
            <v>METRO</v>
          </cell>
          <cell r="E398">
            <v>253333.33333333334</v>
          </cell>
        </row>
        <row r="399">
          <cell r="A399">
            <v>1111310166</v>
          </cell>
          <cell r="B399" t="str">
            <v>81G11AT2/CR</v>
          </cell>
          <cell r="C399" t="str">
            <v>TAPA EMBELLECEDORA EXTERNA PERFIL GOLA HORIZONTAL CROMO</v>
          </cell>
          <cell r="D399" t="str">
            <v>SET</v>
          </cell>
          <cell r="E399">
            <v>5466.666666666667</v>
          </cell>
        </row>
        <row r="400">
          <cell r="C400" t="str">
            <v>TAPA EMBELLECEDORA EXTERNA PERFIL GOLA HORIZONTAL CROMO(color negro</v>
          </cell>
          <cell r="D400" t="str">
            <v>SET</v>
          </cell>
          <cell r="E400">
            <v>13666.666666666666</v>
          </cell>
        </row>
        <row r="401">
          <cell r="A401">
            <v>1162110042</v>
          </cell>
          <cell r="B401" t="str">
            <v>81G11A90B/CR</v>
          </cell>
          <cell r="C401" t="str">
            <v>ESQUINA  INTERNA 90° PERFIL GOLA J HORIZONTAL PLASTICO PINTADO</v>
          </cell>
          <cell r="D401" t="str">
            <v>UNIDAD</v>
          </cell>
          <cell r="E401">
            <v>19666.666666666668</v>
          </cell>
        </row>
        <row r="402">
          <cell r="C402" t="str">
            <v>ESQUINA  INTERNA 90° PERFIL GOLA J HORIZONTAL PLASTICO PINTADO (color negro)</v>
          </cell>
          <cell r="D402" t="str">
            <v>UNIDAD</v>
          </cell>
          <cell r="E402">
            <v>49200</v>
          </cell>
        </row>
        <row r="403">
          <cell r="A403">
            <v>1162110043</v>
          </cell>
          <cell r="B403" t="str">
            <v>81G11A90A/CR</v>
          </cell>
          <cell r="C403" t="str">
            <v>ESQUINA  EXTERNA 90° PERFIL GOLA J HORIZONTAL PLASTICO PINTADO</v>
          </cell>
          <cell r="D403" t="str">
            <v>UNIDAD</v>
          </cell>
          <cell r="E403">
            <v>19666.666666666668</v>
          </cell>
        </row>
        <row r="404">
          <cell r="C404" t="str">
            <v>ESQUINA  EXTERNA 90° PERFIL GOLA J HORIZONTAL PLASTICO PINTADO (color negro)</v>
          </cell>
          <cell r="D404" t="str">
            <v>UNIDAD</v>
          </cell>
          <cell r="E404">
            <v>49200</v>
          </cell>
        </row>
        <row r="405">
          <cell r="A405">
            <v>1111310169</v>
          </cell>
          <cell r="B405" t="str">
            <v>81G13AT3/CR</v>
          </cell>
          <cell r="C405" t="str">
            <v>TAPA EMBELLECEDORA INTERNO PERFIL GOLA U HORIZONTAL CROMO</v>
          </cell>
          <cell r="D405" t="str">
            <v>SET</v>
          </cell>
          <cell r="E405">
            <v>10400</v>
          </cell>
        </row>
        <row r="406">
          <cell r="C406" t="str">
            <v>TAPA EMBELLECEDORA INTERNO PERFIL GOLA U HORIZONTAL CROMO (color negro)</v>
          </cell>
          <cell r="D406" t="str">
            <v>SET</v>
          </cell>
          <cell r="E406">
            <v>26000</v>
          </cell>
        </row>
        <row r="407">
          <cell r="A407">
            <v>1111310176</v>
          </cell>
          <cell r="B407" t="str">
            <v>81G13AT2/CR</v>
          </cell>
          <cell r="C407" t="str">
            <v>TAPA EMBELLECEDORA EXTERNA PERFIL GOLA U HORIZONTAL CROMO</v>
          </cell>
          <cell r="D407" t="str">
            <v>JUEGO</v>
          </cell>
          <cell r="E407">
            <v>11066.666666666666</v>
          </cell>
        </row>
        <row r="408">
          <cell r="C408" t="str">
            <v>TAPA EMBELLECEDORA EXTERNA PERFIL GOLA U HORIZONTAL CROMO (color negro)</v>
          </cell>
          <cell r="D408" t="str">
            <v>JUEGO</v>
          </cell>
          <cell r="E408">
            <v>27666.666666666668</v>
          </cell>
        </row>
        <row r="409">
          <cell r="A409">
            <v>1111310170</v>
          </cell>
          <cell r="B409" t="str">
            <v>81G11003A</v>
          </cell>
          <cell r="C409" t="str">
            <v xml:space="preserve">CLIP FIJACION PERFIL GOLA J HORIZONTAL </v>
          </cell>
          <cell r="D409" t="str">
            <v>SET</v>
          </cell>
          <cell r="E409">
            <v>2253.3333333333335</v>
          </cell>
        </row>
        <row r="410">
          <cell r="A410">
            <v>1111310150</v>
          </cell>
          <cell r="B410" t="str">
            <v>2010400/30</v>
          </cell>
          <cell r="C410" t="str">
            <v>ZOCALO PVC ALUMINIO TIRA H:100MM X 4 MTS</v>
          </cell>
          <cell r="D410" t="str">
            <v>METRO</v>
          </cell>
          <cell r="E410">
            <v>20000</v>
          </cell>
        </row>
        <row r="411">
          <cell r="A411">
            <v>1111310152</v>
          </cell>
          <cell r="B411" t="str">
            <v>2015400/30</v>
          </cell>
          <cell r="C411" t="str">
            <v>ZOCALO PVC ALUMINIO TIRA H:150MM X 4 MTS</v>
          </cell>
          <cell r="D411" t="str">
            <v>METRO</v>
          </cell>
          <cell r="E411">
            <v>26000</v>
          </cell>
        </row>
        <row r="412">
          <cell r="B412" t="str">
            <v>2010400/30</v>
          </cell>
          <cell r="C412" t="str">
            <v>ZOCALO PVC ALUMINIO TIRA H:100MM X 4 MTS (color negro)</v>
          </cell>
          <cell r="D412" t="str">
            <v>METRO</v>
          </cell>
          <cell r="E412">
            <v>50000</v>
          </cell>
        </row>
        <row r="413">
          <cell r="B413" t="str">
            <v>2015400/30</v>
          </cell>
          <cell r="C413" t="str">
            <v>ZOCALO PVC ALUMINIO TIRA H:150MM X 4 MTS (color negro)</v>
          </cell>
          <cell r="D413" t="str">
            <v>METRO</v>
          </cell>
          <cell r="E413">
            <v>65066.666666666664</v>
          </cell>
        </row>
        <row r="414">
          <cell r="A414">
            <v>1111310154</v>
          </cell>
          <cell r="B414" t="str">
            <v>1031A100-1</v>
          </cell>
          <cell r="C414" t="str">
            <v>PATA PLASTICA ZOCALO 100MM GRADUABLE</v>
          </cell>
          <cell r="D414" t="str">
            <v>JUEGO</v>
          </cell>
          <cell r="E414">
            <v>2960</v>
          </cell>
        </row>
        <row r="415">
          <cell r="A415">
            <v>1111310158</v>
          </cell>
          <cell r="B415" t="str">
            <v>1031A150-1</v>
          </cell>
          <cell r="C415" t="str">
            <v>PATA PLASTICA ZOCALO 150MM GRADUABLE</v>
          </cell>
          <cell r="D415" t="str">
            <v>JUEGO</v>
          </cell>
          <cell r="E415">
            <v>3293.3333333333335</v>
          </cell>
        </row>
        <row r="416">
          <cell r="A416">
            <v>1111310153</v>
          </cell>
          <cell r="B416" t="str">
            <v>2119H5/30</v>
          </cell>
          <cell r="C416" t="str">
            <v>MULTIFUNCIONAL ESQUINERA ZOCALO H:150/100MM</v>
          </cell>
          <cell r="D416" t="str">
            <v>UNIDAD</v>
          </cell>
          <cell r="E416">
            <v>7480</v>
          </cell>
        </row>
        <row r="417">
          <cell r="C417" t="str">
            <v xml:space="preserve">MULTIFUNCIONAL ESQUINERA ZOCALO H:150/100MM (color negro </v>
          </cell>
          <cell r="D417" t="str">
            <v>UNIDAD</v>
          </cell>
          <cell r="E417">
            <v>18733.333333333332</v>
          </cell>
        </row>
        <row r="418">
          <cell r="A418">
            <v>1111010243</v>
          </cell>
          <cell r="B418" t="str">
            <v>31701000IJ-1</v>
          </cell>
          <cell r="C418" t="str">
            <v>KIT NIVELADOR ATACAMA J ADJ.20MM ZAMAK GRIS</v>
          </cell>
          <cell r="D418" t="str">
            <v>KIT</v>
          </cell>
          <cell r="E418">
            <v>14395.6944</v>
          </cell>
        </row>
        <row r="419">
          <cell r="A419">
            <v>1111010239</v>
          </cell>
          <cell r="B419">
            <v>301060100</v>
          </cell>
          <cell r="C419" t="str">
            <v>PATA NIVELADORA INTEGRATO G</v>
          </cell>
          <cell r="D419" t="str">
            <v xml:space="preserve">UNIDAD </v>
          </cell>
          <cell r="E419">
            <v>3574.6559999999995</v>
          </cell>
        </row>
        <row r="420">
          <cell r="A420">
            <v>1111010245</v>
          </cell>
          <cell r="B420" t="str">
            <v>31501010WI-1</v>
          </cell>
          <cell r="C420" t="str">
            <v>KIT CLIP ZÓCALO AGUJERO  PARA PATA INTEGRATO G - ATACAMA</v>
          </cell>
          <cell r="D420" t="str">
            <v>KIT</v>
          </cell>
          <cell r="E420">
            <v>3235.6800000000003</v>
          </cell>
        </row>
        <row r="421">
          <cell r="A421">
            <v>1111010240</v>
          </cell>
          <cell r="B421" t="str">
            <v>30107030EA</v>
          </cell>
          <cell r="C421" t="str">
            <v>SEPRADOR PARA PATA INTEGRATO H 60mm NEGRO</v>
          </cell>
          <cell r="D421" t="str">
            <v xml:space="preserve">UNIDAD </v>
          </cell>
          <cell r="E421">
            <v>804.29759999999999</v>
          </cell>
        </row>
        <row r="422">
          <cell r="A422">
            <v>1111010241</v>
          </cell>
          <cell r="B422" t="str">
            <v>30108010EA</v>
          </cell>
          <cell r="C422" t="str">
            <v>PATA NINELADORA INTEGATO Z</v>
          </cell>
          <cell r="D422" t="str">
            <v>UNIDAD</v>
          </cell>
          <cell r="E422">
            <v>2514.5855999999999</v>
          </cell>
        </row>
        <row r="423">
          <cell r="A423">
            <v>1111010231</v>
          </cell>
          <cell r="B423" t="str">
            <v>30501010AB</v>
          </cell>
          <cell r="C423" t="str">
            <v>NIVELADOR MONTADO HEXAGONAL BLANCO</v>
          </cell>
          <cell r="D423" t="str">
            <v>UNIDAD</v>
          </cell>
          <cell r="E423">
            <v>360.54719999999998</v>
          </cell>
        </row>
        <row r="424">
          <cell r="A424">
            <v>110211049</v>
          </cell>
          <cell r="B424" t="str">
            <v>640 L220MM</v>
          </cell>
          <cell r="C424" t="str">
            <v>MANIJA 640 ALUMINIO 192MM 9D CHAMPAGNE L220MM</v>
          </cell>
          <cell r="D424" t="str">
            <v>UNIDAD</v>
          </cell>
          <cell r="E424">
            <v>19518.8544</v>
          </cell>
        </row>
        <row r="425">
          <cell r="A425">
            <v>110211050</v>
          </cell>
          <cell r="B425" t="str">
            <v>640_L340MM</v>
          </cell>
          <cell r="C425" t="str">
            <v>MANIJA 640 ALUMINIO 320MM 9D CHAMPAGNE L340MM</v>
          </cell>
          <cell r="D425" t="str">
            <v>UNIDAD</v>
          </cell>
          <cell r="E425">
            <v>25723.655999999999</v>
          </cell>
        </row>
        <row r="426">
          <cell r="A426">
            <v>110211044</v>
          </cell>
          <cell r="B426">
            <v>1208</v>
          </cell>
          <cell r="C426" t="str">
            <v>MANIJA 1208 ZAMAK 96MM 10C SILVER</v>
          </cell>
          <cell r="D426" t="str">
            <v>UNIDAD</v>
          </cell>
          <cell r="E426">
            <v>15438.816000000001</v>
          </cell>
        </row>
        <row r="427">
          <cell r="A427">
            <v>110211045</v>
          </cell>
          <cell r="B427">
            <v>1246</v>
          </cell>
          <cell r="C427" t="str">
            <v>MANIJA 1246 ZAMAK 160MM 10C SILVER</v>
          </cell>
          <cell r="D427" t="str">
            <v xml:space="preserve">UNIDAD </v>
          </cell>
          <cell r="E427">
            <v>14252.4</v>
          </cell>
        </row>
        <row r="428">
          <cell r="A428">
            <v>110211047</v>
          </cell>
          <cell r="B428">
            <v>1453</v>
          </cell>
          <cell r="C428" t="str">
            <v>MANIJA 1453 ZAMAK 160MM 1A CROMO PARA PERSONALIZAR</v>
          </cell>
          <cell r="D428" t="str">
            <v>UNIDAD</v>
          </cell>
          <cell r="E428">
            <v>20538.863999999998</v>
          </cell>
        </row>
        <row r="429">
          <cell r="A429">
            <v>110211048</v>
          </cell>
          <cell r="B429">
            <v>1477</v>
          </cell>
          <cell r="C429" t="str">
            <v>POMO 1477 ZAMAK 1A CROMO PARA PERSONALIZAR</v>
          </cell>
          <cell r="D429" t="str">
            <v>UNIDAD</v>
          </cell>
          <cell r="E429">
            <v>16458.8256</v>
          </cell>
        </row>
        <row r="430">
          <cell r="A430">
            <v>110211053</v>
          </cell>
          <cell r="B430">
            <v>3612</v>
          </cell>
          <cell r="C430" t="str">
            <v xml:space="preserve">MANIJA 3612 ALUMINIO 9H ANONIZADO MATE OLIVA L1956 BARRA PERSONALIZAR </v>
          </cell>
          <cell r="D430" t="str">
            <v>METRO</v>
          </cell>
          <cell r="E430">
            <v>38635.56</v>
          </cell>
        </row>
        <row r="431">
          <cell r="A431">
            <v>110211051</v>
          </cell>
          <cell r="B431">
            <v>3610</v>
          </cell>
          <cell r="C431" t="str">
            <v xml:space="preserve">MANIJA 3610 ALUMINIO 9E BARRA L3150MM  </v>
          </cell>
          <cell r="D431" t="str">
            <v>METRO</v>
          </cell>
          <cell r="E431">
            <v>51887.980799999998</v>
          </cell>
        </row>
        <row r="432">
          <cell r="A432">
            <v>1161310037</v>
          </cell>
          <cell r="C432" t="str">
            <v>SET CONDIMENTERO 2 NIVELES 150mm / ANTRANCITA</v>
          </cell>
          <cell r="E432">
            <v>337095.97484276729</v>
          </cell>
        </row>
        <row r="433">
          <cell r="A433">
            <v>1161310039</v>
          </cell>
          <cell r="C433" t="str">
            <v>ALACENA STYLE DESLIZABLE MOD. 300 / 6 CANASTAS ANTRANCITA</v>
          </cell>
          <cell r="E433">
            <v>1888888.888888889</v>
          </cell>
        </row>
        <row r="434">
          <cell r="A434">
            <v>1161310040</v>
          </cell>
          <cell r="C434" t="str">
            <v>ALACENA STYLE DESLIZABLE MOD. 400 / 6 CANASTAS ANTRANCITA</v>
          </cell>
          <cell r="E434">
            <v>1942042.0740740744</v>
          </cell>
        </row>
        <row r="435">
          <cell r="A435">
            <v>1161310041</v>
          </cell>
          <cell r="C435" t="str">
            <v>ALACENA DOBLE STYLE MOD. 450 / CANASTAS ANTRANCITA</v>
          </cell>
          <cell r="E435">
            <v>1491944.111111111</v>
          </cell>
        </row>
        <row r="436">
          <cell r="A436">
            <v>1161310043</v>
          </cell>
          <cell r="C436" t="str">
            <v>ALACENA DOBLE STYLE MOD. 600 / CANASTAS ANTRANCITA</v>
          </cell>
          <cell r="E436">
            <v>1653648.2777777778</v>
          </cell>
        </row>
        <row r="437">
          <cell r="A437">
            <v>1161310038</v>
          </cell>
          <cell r="C437" t="str">
            <v>ALACENA SPACE DESLIZABLE  MOD. 600 / 6 CANASTAS ANTRANCITA</v>
          </cell>
          <cell r="E437">
            <v>2886666.6666666665</v>
          </cell>
        </row>
        <row r="438">
          <cell r="A438">
            <v>1161310044</v>
          </cell>
          <cell r="C438" t="str">
            <v>ESQUINA DESLIZANTE  STYLE IZQUIERDA / CANASTAS ANTANCITA</v>
          </cell>
          <cell r="E438">
            <v>1491944.0000000002</v>
          </cell>
        </row>
        <row r="439">
          <cell r="A439">
            <v>1161310042</v>
          </cell>
          <cell r="C439" t="str">
            <v>ESQUINA DESLIZANTE STYLE DERECHA / CANASTAS ANTANCITA</v>
          </cell>
          <cell r="E439">
            <v>1491944.0000000002</v>
          </cell>
        </row>
        <row r="440">
          <cell r="A440">
            <v>1101510047</v>
          </cell>
          <cell r="C440" t="str">
            <v>BASURERA CLASSIC DOBLE EXTRAIBLE  MOD. 400 - 20 LTS X 2</v>
          </cell>
          <cell r="E440">
            <v>384444.4444444445</v>
          </cell>
        </row>
        <row r="441">
          <cell r="A441">
            <v>1101510049</v>
          </cell>
          <cell r="C441" t="str">
            <v>BASURERA CILINDRICA EQO MOD. 400 - 14 LTS</v>
          </cell>
          <cell r="E441">
            <v>224889.80000000002</v>
          </cell>
        </row>
        <row r="442">
          <cell r="A442">
            <v>1161310045</v>
          </cell>
          <cell r="C442" t="str">
            <v>SET ORGANIZADOR MUL-BASKET MOD. 300</v>
          </cell>
          <cell r="E442">
            <v>637777.77777777787</v>
          </cell>
        </row>
        <row r="443">
          <cell r="A443">
            <v>1101510045</v>
          </cell>
          <cell r="C443" t="str">
            <v>BASURERA PLUS  DOBLE EXTRAIBLE  MOD. 600 - 28 LTS X 2</v>
          </cell>
          <cell r="E443">
            <v>737695.87301587302</v>
          </cell>
        </row>
        <row r="444">
          <cell r="A444">
            <v>1101510046</v>
          </cell>
          <cell r="C444" t="str">
            <v>BASURERA PLUS DOBLE EXTRAIBLE  MOD. 500 - 28 +17 LTS</v>
          </cell>
          <cell r="E444">
            <v>686287.82222222222</v>
          </cell>
        </row>
        <row r="445">
          <cell r="A445">
            <v>1101510048</v>
          </cell>
          <cell r="C445" t="str">
            <v>BASURERA MINI DOBLE EXTRAIBLE MOD. 400 - 14 LTS X 2</v>
          </cell>
          <cell r="E445">
            <v>564691.42222222232</v>
          </cell>
        </row>
        <row r="446">
          <cell r="A446">
            <v>1101010144</v>
          </cell>
          <cell r="C446" t="str">
            <v xml:space="preserve">KIT BISAGRA MASTER PARCHE  SILENT SYSTEM </v>
          </cell>
          <cell r="E446">
            <v>6724.1072111615895</v>
          </cell>
        </row>
        <row r="447">
          <cell r="A447">
            <v>1101010145</v>
          </cell>
          <cell r="C447" t="str">
            <v>KIT BISAGRA MASTER SEMIPARCHE SILENT SYSTEM</v>
          </cell>
          <cell r="E447">
            <v>6807.1772860416049</v>
          </cell>
        </row>
        <row r="448">
          <cell r="A448">
            <v>1101010146</v>
          </cell>
          <cell r="C448" t="str">
            <v>KIT BISAGRA STAR TRACK PARCHE CLIP</v>
          </cell>
          <cell r="E448">
            <v>4175.0805366637724</v>
          </cell>
        </row>
        <row r="449">
          <cell r="A449">
            <v>1101010147</v>
          </cell>
          <cell r="C449" t="str">
            <v>KIT BISAGRA STAR TRACK PUSH OPEN PARCHE CLIP</v>
          </cell>
          <cell r="E449">
            <v>5501.698094986973</v>
          </cell>
        </row>
        <row r="450">
          <cell r="A450">
            <v>1101010148</v>
          </cell>
          <cell r="C450" t="str">
            <v>KIT BISAGRA PARCHE STAR</v>
          </cell>
          <cell r="E450">
            <v>2017.3330341536921</v>
          </cell>
        </row>
        <row r="451">
          <cell r="A451">
            <v>1101010149</v>
          </cell>
          <cell r="C451" t="str">
            <v>KIT BISAGRA SEMIPARCHE STAR</v>
          </cell>
          <cell r="E451">
            <v>2146.9816867342629</v>
          </cell>
        </row>
        <row r="452">
          <cell r="A452">
            <v>1101010151</v>
          </cell>
          <cell r="C452" t="str">
            <v>KIT BISAGRA EMBEBIDA STAR</v>
          </cell>
          <cell r="E452">
            <v>2272.308717562149</v>
          </cell>
        </row>
        <row r="453">
          <cell r="A453">
            <v>1101010152</v>
          </cell>
          <cell r="C453" t="str">
            <v>KIT BISAGRA STAR TRACK 165</v>
          </cell>
          <cell r="E453">
            <v>14836</v>
          </cell>
        </row>
        <row r="454">
          <cell r="A454">
            <v>1101010155</v>
          </cell>
          <cell r="C454" t="str">
            <v>KIT BISAGRA STAR TRACK 165 SOFT CLOSE</v>
          </cell>
          <cell r="E454">
            <v>30640</v>
          </cell>
        </row>
        <row r="455">
          <cell r="A455">
            <v>1101010154</v>
          </cell>
          <cell r="C455" t="str">
            <v>STAR 7 MOUNTING PLATE SUNK SCREW HOLED WTHOUTSCREW 37 (NI)</v>
          </cell>
        </row>
        <row r="456">
          <cell r="A456">
            <v>1101010133</v>
          </cell>
          <cell r="C456" t="str">
            <v>MASTER/ IMPRO / INVO / STAR TRACK 5MM MOUNTING PLATE 4 HOLED Ø5X11,5  DOWELLED</v>
          </cell>
        </row>
        <row r="457">
          <cell r="A457">
            <v>1101110152</v>
          </cell>
          <cell r="C457" t="str">
            <v>KIT RIEL OCULTO SMARTSLIDE EXT. TOTAL 300mm</v>
          </cell>
          <cell r="E457">
            <v>74419.179532909737</v>
          </cell>
        </row>
        <row r="458">
          <cell r="A458">
            <v>1101110174</v>
          </cell>
          <cell r="C458" t="str">
            <v>KIT RIEL OCULTO SMARTSLIDE EXT. TOTAL 350mm</v>
          </cell>
          <cell r="E458">
            <v>74419.179532909737</v>
          </cell>
        </row>
        <row r="459">
          <cell r="A459">
            <v>1101110175</v>
          </cell>
          <cell r="C459" t="str">
            <v>KIT RIEL OCULTO SMARTSLIDE EXT. TOTAL 400mm</v>
          </cell>
          <cell r="E459">
            <v>73631.163452050299</v>
          </cell>
        </row>
        <row r="460">
          <cell r="A460">
            <v>1101110187</v>
          </cell>
          <cell r="C460" t="str">
            <v>KIT RIEL OCULTO SMARTSLIDE EXT. TOTAL 450mm</v>
          </cell>
          <cell r="E460">
            <v>75262.897065764584</v>
          </cell>
        </row>
        <row r="461">
          <cell r="A461">
            <v>1101110188</v>
          </cell>
          <cell r="C461" t="str">
            <v>KIT RIEL OCULTO SMARTSLIDE EXT. TOTAL 500mm</v>
          </cell>
          <cell r="E461">
            <v>76894.630679478869</v>
          </cell>
        </row>
        <row r="462">
          <cell r="A462">
            <v>1101110189</v>
          </cell>
          <cell r="C462" t="str">
            <v>KIT RIEL OCULTO PUSH OPEN SMARTSLIDE EXT. TOTAL 300mm</v>
          </cell>
          <cell r="E462">
            <v>97699.234254335985</v>
          </cell>
        </row>
        <row r="463">
          <cell r="A463">
            <v>1101110190</v>
          </cell>
          <cell r="C463" t="str">
            <v>KIT RIEL OCULTO PUSH OPEN SMARTSLIDE EXT. TOTAL 400mm</v>
          </cell>
          <cell r="E463">
            <v>100962.70148176457</v>
          </cell>
        </row>
        <row r="464">
          <cell r="A464">
            <v>1101110193</v>
          </cell>
          <cell r="C464" t="str">
            <v>KIT RIEL OCULTO PUSH OPEN SMARTSLIDE EXT. TOTAL 500mm</v>
          </cell>
          <cell r="E464">
            <v>97093.333333333328</v>
          </cell>
        </row>
        <row r="465">
          <cell r="A465">
            <v>1101910267</v>
          </cell>
          <cell r="C465" t="str">
            <v>KIT CAJON PANDO FLOWBOX 58/500mm - ANTRANCITA</v>
          </cell>
          <cell r="E465">
            <v>130993.72290497005</v>
          </cell>
        </row>
        <row r="466">
          <cell r="A466">
            <v>1102010052</v>
          </cell>
          <cell r="C466" t="str">
            <v>KIT CAJON PANDO SMART FLOW 58/500mm - BLANCO</v>
          </cell>
          <cell r="E466">
            <v>130993.72290497005</v>
          </cell>
        </row>
        <row r="467">
          <cell r="A467">
            <v>1101910271</v>
          </cell>
          <cell r="C467" t="str">
            <v>KIT CAJON ALTO FLOWBOX 144/500mm - ANTRANCITA</v>
          </cell>
          <cell r="E467">
            <v>149810.12087960783</v>
          </cell>
        </row>
        <row r="468">
          <cell r="A468">
            <v>1102010055</v>
          </cell>
          <cell r="C468" t="str">
            <v>KIT CAJON ALTO SMART FLOW 144/500mm - BLANCO</v>
          </cell>
          <cell r="E468">
            <v>149810.12087960783</v>
          </cell>
        </row>
        <row r="469">
          <cell r="A469">
            <v>1101910274</v>
          </cell>
          <cell r="C469" t="str">
            <v>KIT CAJON PANDO FLOWBOX 58/400mm - ANTRANCITA</v>
          </cell>
          <cell r="E469">
            <v>123534.18676124437</v>
          </cell>
        </row>
        <row r="470">
          <cell r="A470">
            <v>1102010053</v>
          </cell>
          <cell r="C470" t="str">
            <v>KIT CAJON PANDO SMART FLOW 58/400mm - BLANCO</v>
          </cell>
          <cell r="E470">
            <v>123534.18676124437</v>
          </cell>
        </row>
        <row r="471">
          <cell r="A471">
            <v>1101910278</v>
          </cell>
          <cell r="C471" t="str">
            <v>KIT CAJON ALTO FLOWBOX 144/400mm - ANTRANCITA</v>
          </cell>
          <cell r="E471">
            <v>141524.88014113918</v>
          </cell>
        </row>
        <row r="472">
          <cell r="C472" t="str">
            <v xml:space="preserve">KIT CAJON ALTO FLOWBOX 144/400mm - BLANCO </v>
          </cell>
          <cell r="E472">
            <v>141525.13333333333</v>
          </cell>
        </row>
        <row r="473">
          <cell r="A473">
            <v>1101910281</v>
          </cell>
          <cell r="C473" t="str">
            <v>KIT CAJON PANDO FLOWBOX 58/350mm-ANTRACITA</v>
          </cell>
          <cell r="E473">
            <v>120916.09902181581</v>
          </cell>
        </row>
        <row r="474">
          <cell r="A474">
            <v>1102010054</v>
          </cell>
          <cell r="C474" t="str">
            <v>KIT CAJON PANDO SMART FLOW 58/350mm - BLANCO</v>
          </cell>
          <cell r="E474">
            <v>120916.09902181581</v>
          </cell>
        </row>
        <row r="475">
          <cell r="A475">
            <v>1101910286</v>
          </cell>
          <cell r="C475" t="str">
            <v>KIT CAJON ALTO FLOWBOX 144/350mm - ANTRANCITA</v>
          </cell>
          <cell r="E475">
            <v>138576.51056381353</v>
          </cell>
        </row>
        <row r="476">
          <cell r="C476" t="str">
            <v>KIT CAJON ALTO FLOWBOX 144/350mm - BLANCO</v>
          </cell>
          <cell r="E476">
            <v>138576.53333333333</v>
          </cell>
        </row>
        <row r="477">
          <cell r="A477">
            <v>1101110155</v>
          </cell>
          <cell r="C477" t="str">
            <v xml:space="preserve">Juego de galería 500 mm SAMET FLOW BOX ANTHACITE </v>
          </cell>
          <cell r="E477">
            <v>36274.74624</v>
          </cell>
        </row>
        <row r="478">
          <cell r="A478">
            <v>1101110191</v>
          </cell>
          <cell r="C478" t="str">
            <v xml:space="preserve">Juego de galería 400 mm SAMET FLOW BOX ANTHACITE </v>
          </cell>
          <cell r="E478">
            <v>33351.078239999995</v>
          </cell>
        </row>
        <row r="479">
          <cell r="A479">
            <v>1101110172</v>
          </cell>
          <cell r="C479" t="str">
            <v xml:space="preserve">Juego de galería 350 mm SAMET FLOW BOX ANTHACITE </v>
          </cell>
          <cell r="E479">
            <v>31914.051120000004</v>
          </cell>
        </row>
        <row r="480">
          <cell r="A480">
            <v>1101110176</v>
          </cell>
          <cell r="C480" t="str">
            <v>FRENTE ALUMINIO CAJON PANDO FLOWBOX 58/1200MM ANTRANCITA - ⑤</v>
          </cell>
          <cell r="E480">
            <v>103036.37759999999</v>
          </cell>
        </row>
        <row r="481">
          <cell r="A481">
            <v>1101110177</v>
          </cell>
          <cell r="C481" t="str">
            <v>CONECTOR FRENTE CAJON INTERNO PANDO 58/ANTRANCITA -  ④</v>
          </cell>
          <cell r="E481">
            <v>12280</v>
          </cell>
        </row>
        <row r="482">
          <cell r="A482">
            <v>1101110418</v>
          </cell>
          <cell r="C482" t="str">
            <v>FLOW FRONT PANEL HOLDER 58 WHITE -  ④</v>
          </cell>
          <cell r="E482">
            <v>12280</v>
          </cell>
        </row>
        <row r="483">
          <cell r="A483">
            <v>1101110421</v>
          </cell>
          <cell r="C483" t="str">
            <v>SMARTFLOW FRONT PANEL WITHOUT GALLERY RAILING 16-1200 WHITE- ⑤</v>
          </cell>
          <cell r="E483">
            <v>103036.37759999999</v>
          </cell>
        </row>
        <row r="484">
          <cell r="A484">
            <v>1101110178</v>
          </cell>
          <cell r="C484" t="str">
            <v>FRENTE ALUMINIO CAJON PANDO + GALERIA FLOWBOX 58/1200MM ANTRANCITA - ⑥</v>
          </cell>
          <cell r="E484">
            <v>106453.33333333333</v>
          </cell>
        </row>
        <row r="485">
          <cell r="A485">
            <v>1101110179</v>
          </cell>
          <cell r="C485" t="str">
            <v>BARRA TRANSVERSAL CAJON INTERNO FLOWBOX 58-144/1200MM ANTRANCITA - ④</v>
          </cell>
          <cell r="E485">
            <v>25386.666666666668</v>
          </cell>
        </row>
        <row r="486">
          <cell r="A486">
            <v>1101110180</v>
          </cell>
          <cell r="C486" t="str">
            <v>CONECTORES FRENTE CAJON INTERNO + GALERIA FLOWBOX 58/ANTRANCITA - ⑤</v>
          </cell>
          <cell r="E486">
            <v>16040</v>
          </cell>
        </row>
        <row r="487">
          <cell r="A487">
            <v>1101110181</v>
          </cell>
          <cell r="C487" t="str">
            <v>SOPORTE DE FIJACION FRENTE EN ALUMINIO Y PISO DE MADERA 16MM - ⑤</v>
          </cell>
          <cell r="E487">
            <v>1391.61204</v>
          </cell>
        </row>
        <row r="488">
          <cell r="A488">
            <v>1101110178</v>
          </cell>
          <cell r="C488" t="str">
            <v>FRENTE ALUMINIO CAJON PANDO + GALERIA FLOWBOX 58/1200MM ANTRANCITA - ⑥</v>
          </cell>
          <cell r="E488">
            <v>106453.33333333333</v>
          </cell>
        </row>
        <row r="489">
          <cell r="A489">
            <v>1101110182</v>
          </cell>
          <cell r="C489" t="str">
            <v>CONECTORES FRENTE CAJON INTERNO 144/FLOWBOX ANTRANCITA+SOPORTE FIJACION FRENTE - ⑤</v>
          </cell>
          <cell r="E489">
            <v>26553.333333333332</v>
          </cell>
        </row>
        <row r="490">
          <cell r="A490">
            <v>1101110179</v>
          </cell>
          <cell r="C490" t="str">
            <v>BARRA TRANSVERSAL CAJON INTERNO FLOWBOX 58-144/1200MM ANTRANCITA - ④</v>
          </cell>
          <cell r="E490">
            <v>25386.666666666668</v>
          </cell>
        </row>
        <row r="491">
          <cell r="A491">
            <v>1101110412</v>
          </cell>
          <cell r="C491" t="str">
            <v>FLOW FRONT PANEL HOLDER 144 WHITE- ⑤</v>
          </cell>
          <cell r="E491">
            <v>26553.333333333332</v>
          </cell>
        </row>
        <row r="492">
          <cell r="A492">
            <v>1101110410</v>
          </cell>
          <cell r="C492" t="str">
            <v>SMARTFLOW FRONT PANEL WITH GALLERY RAILING 16-1200 WHITE- ⑥</v>
          </cell>
          <cell r="E492">
            <v>106453.33333333333</v>
          </cell>
        </row>
        <row r="493">
          <cell r="A493">
            <v>1101110416</v>
          </cell>
          <cell r="C493" t="str">
            <v>FRONT GALLERY RAYLLING 1200MM WHITE-④</v>
          </cell>
          <cell r="E493">
            <v>25386.666666666668</v>
          </cell>
        </row>
        <row r="494">
          <cell r="A494">
            <v>1101110183</v>
          </cell>
          <cell r="C494" t="str">
            <v xml:space="preserve">FLOW LATERAL DIVIDER WITH GALLERY RAILING ANTHRACITE </v>
          </cell>
          <cell r="E494">
            <v>20493.333333333332</v>
          </cell>
        </row>
        <row r="495">
          <cell r="A495">
            <v>1101110184</v>
          </cell>
          <cell r="C495" t="str">
            <v>Smartflow Drawer Dividing System Adjustable Gallery Railing 1121mm L Anthracite</v>
          </cell>
          <cell r="E495">
            <v>27056</v>
          </cell>
        </row>
        <row r="496">
          <cell r="A496">
            <v>1101110185</v>
          </cell>
          <cell r="C496" t="str">
            <v>SMARTFLOW SINGLE DIVIDER BAR HOLDER / ANTHRACITE</v>
          </cell>
          <cell r="E496">
            <v>704</v>
          </cell>
        </row>
      </sheetData>
      <sheetData sheetId="2"/>
      <sheetData sheetId="3">
        <row r="2">
          <cell r="A2">
            <v>1161010112</v>
          </cell>
        </row>
      </sheetData>
      <sheetData sheetId="4"/>
      <sheetData sheetId="5">
        <row r="2">
          <cell r="A2">
            <v>1161010112</v>
          </cell>
        </row>
      </sheetData>
      <sheetData sheetId="6"/>
      <sheetData sheetId="7">
        <row r="2">
          <cell r="A2">
            <v>1161010112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91D8-42EB-459A-83BF-6F44F06B5AA7}">
  <sheetPr>
    <tabColor rgb="FF00B050"/>
  </sheetPr>
  <dimension ref="A1:Y954"/>
  <sheetViews>
    <sheetView tabSelected="1" zoomScale="85" zoomScaleNormal="85" workbookViewId="0">
      <selection activeCell="A20" sqref="A20:D20"/>
    </sheetView>
  </sheetViews>
  <sheetFormatPr baseColWidth="10" defaultColWidth="14.42578125" defaultRowHeight="18.75" x14ac:dyDescent="0.3"/>
  <cols>
    <col min="1" max="1" width="85.5703125" style="53" customWidth="1"/>
    <col min="2" max="2" width="32.5703125" style="53" bestFit="1" customWidth="1"/>
    <col min="3" max="3" width="17" style="53" customWidth="1"/>
    <col min="4" max="4" width="22.42578125" style="53" bestFit="1" customWidth="1"/>
    <col min="5" max="5" width="21" style="93" customWidth="1"/>
    <col min="6" max="6" width="18.42578125" style="93" customWidth="1"/>
    <col min="7" max="7" width="38.140625" style="53" customWidth="1"/>
    <col min="8" max="8" width="45.85546875" style="53" customWidth="1"/>
    <col min="9" max="9" width="18.7109375" style="53" customWidth="1"/>
    <col min="10" max="10" width="4.5703125" style="53" customWidth="1"/>
    <col min="11" max="12" width="68.7109375" style="53" customWidth="1"/>
    <col min="13" max="13" width="58.42578125" style="53" bestFit="1" customWidth="1"/>
    <col min="14" max="25" width="68.7109375" style="53" customWidth="1"/>
    <col min="26" max="16384" width="14.42578125" style="53"/>
  </cols>
  <sheetData>
    <row r="1" spans="1:25" x14ac:dyDescent="0.3">
      <c r="A1" s="52"/>
      <c r="B1" s="52"/>
      <c r="C1" s="52"/>
      <c r="D1" s="52"/>
      <c r="E1" s="107"/>
      <c r="F1" s="107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x14ac:dyDescent="0.3">
      <c r="A2" s="106" t="s">
        <v>121</v>
      </c>
      <c r="B2" s="54"/>
      <c r="C2" s="118"/>
      <c r="D2" s="119"/>
      <c r="E2" s="120"/>
      <c r="F2" s="119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x14ac:dyDescent="0.3">
      <c r="A3" s="106"/>
      <c r="B3" s="106"/>
      <c r="C3" s="106"/>
      <c r="D3" s="106"/>
      <c r="E3" s="107"/>
      <c r="F3" s="107"/>
      <c r="G3" s="52"/>
      <c r="H3" s="52"/>
      <c r="I3" s="52"/>
      <c r="J3" s="52"/>
      <c r="K3" s="52"/>
      <c r="L3" s="52"/>
      <c r="M3" s="52">
        <v>13</v>
      </c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25" x14ac:dyDescent="0.3">
      <c r="A4" s="52"/>
      <c r="B4" s="52"/>
      <c r="C4" s="52"/>
      <c r="D4" s="52"/>
      <c r="E4" s="107"/>
      <c r="F4" s="107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 x14ac:dyDescent="0.3">
      <c r="A5" s="52" t="s">
        <v>89</v>
      </c>
      <c r="B5" s="52"/>
      <c r="C5" s="52"/>
      <c r="D5" s="52"/>
      <c r="E5" s="107"/>
      <c r="F5" s="107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 x14ac:dyDescent="0.3">
      <c r="A6" s="108" t="s">
        <v>120</v>
      </c>
      <c r="B6" s="55"/>
      <c r="C6" s="56"/>
      <c r="D6" s="56"/>
      <c r="E6" s="57"/>
      <c r="F6" s="57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 x14ac:dyDescent="0.3">
      <c r="A7" s="52" t="s">
        <v>90</v>
      </c>
      <c r="B7" s="52"/>
      <c r="C7" s="52"/>
      <c r="D7" s="52"/>
      <c r="E7" s="107"/>
      <c r="F7" s="107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spans="1:25" x14ac:dyDescent="0.3">
      <c r="A8" s="52"/>
      <c r="B8" s="52"/>
      <c r="C8" s="52"/>
      <c r="D8" s="52"/>
      <c r="E8" s="107"/>
      <c r="F8" s="107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 x14ac:dyDescent="0.3">
      <c r="A9" s="55"/>
      <c r="B9" s="55" t="s">
        <v>91</v>
      </c>
      <c r="C9" s="55"/>
      <c r="D9" s="55"/>
      <c r="E9" s="57"/>
      <c r="F9" s="57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 ht="36.75" x14ac:dyDescent="0.3">
      <c r="A10" s="55" t="s">
        <v>92</v>
      </c>
      <c r="B10" s="55"/>
      <c r="C10" s="52"/>
      <c r="D10" s="109" t="s">
        <v>122</v>
      </c>
      <c r="E10" s="57"/>
      <c r="F10" s="57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 x14ac:dyDescent="0.3">
      <c r="A11" s="121" t="s">
        <v>116</v>
      </c>
      <c r="B11" s="122"/>
      <c r="C11" s="122"/>
      <c r="D11" s="122"/>
      <c r="E11" s="58"/>
      <c r="F11" s="58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 x14ac:dyDescent="0.3">
      <c r="A12" s="115" t="s">
        <v>123</v>
      </c>
      <c r="B12" s="116"/>
      <c r="C12" s="116"/>
      <c r="D12" s="117"/>
      <c r="E12" s="59"/>
      <c r="F12" s="60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 x14ac:dyDescent="0.3">
      <c r="A13" s="105" t="s">
        <v>93</v>
      </c>
      <c r="B13" s="105" t="s">
        <v>94</v>
      </c>
      <c r="C13" s="105" t="s">
        <v>2</v>
      </c>
      <c r="D13" s="105" t="s">
        <v>95</v>
      </c>
      <c r="E13" s="105" t="s">
        <v>96</v>
      </c>
      <c r="F13" s="105" t="s">
        <v>97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 x14ac:dyDescent="0.3">
      <c r="A14" s="110" t="s">
        <v>98</v>
      </c>
      <c r="B14" s="111"/>
      <c r="C14" s="112">
        <f>2.1*1.5</f>
        <v>3.1500000000000004</v>
      </c>
      <c r="D14" s="113" t="s">
        <v>58</v>
      </c>
      <c r="E14" s="114" t="e">
        <f>#REF!</f>
        <v>#REF!</v>
      </c>
      <c r="F14" s="114" t="e">
        <f>+E14*C14</f>
        <v>#REF!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 x14ac:dyDescent="0.3">
      <c r="A15" s="110" t="s">
        <v>117</v>
      </c>
      <c r="B15" s="111"/>
      <c r="C15" s="112"/>
      <c r="D15" s="113"/>
      <c r="E15" s="114"/>
      <c r="F15" s="114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5" x14ac:dyDescent="0.3">
      <c r="A16" s="110" t="s">
        <v>118</v>
      </c>
      <c r="B16" s="111"/>
      <c r="C16" s="112"/>
      <c r="D16" s="113"/>
      <c r="E16" s="114"/>
      <c r="F16" s="114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spans="1:25" x14ac:dyDescent="0.3">
      <c r="A17" s="110" t="s">
        <v>119</v>
      </c>
      <c r="B17" s="111"/>
      <c r="C17" s="112"/>
      <c r="D17" s="113"/>
      <c r="E17" s="114"/>
      <c r="F17" s="114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spans="1:25" x14ac:dyDescent="0.3">
      <c r="A18" s="123" t="s">
        <v>99</v>
      </c>
      <c r="B18" s="124"/>
      <c r="C18" s="124"/>
      <c r="D18" s="66" t="e">
        <f>F18</f>
        <v>#REF!</v>
      </c>
      <c r="E18" s="59"/>
      <c r="F18" s="59" t="e">
        <f>SUM(F14:F17)</f>
        <v>#REF!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spans="1:25" x14ac:dyDescent="0.3">
      <c r="A19" s="67"/>
      <c r="B19" s="68"/>
      <c r="C19" s="68"/>
      <c r="D19" s="69"/>
      <c r="E19" s="70"/>
      <c r="F19" s="71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spans="1:25" x14ac:dyDescent="0.3">
      <c r="A20" s="115" t="s">
        <v>123</v>
      </c>
      <c r="B20" s="116"/>
      <c r="C20" s="116"/>
      <c r="D20" s="117"/>
      <c r="E20" s="59"/>
      <c r="F20" s="60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 x14ac:dyDescent="0.3">
      <c r="A21" s="105" t="s">
        <v>93</v>
      </c>
      <c r="B21" s="105" t="s">
        <v>94</v>
      </c>
      <c r="C21" s="105" t="s">
        <v>2</v>
      </c>
      <c r="D21" s="105" t="s">
        <v>95</v>
      </c>
      <c r="E21" s="105" t="s">
        <v>96</v>
      </c>
      <c r="F21" s="105" t="s">
        <v>97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spans="1:25" x14ac:dyDescent="0.3">
      <c r="A22" s="61"/>
      <c r="B22" s="62"/>
      <c r="C22" s="63"/>
      <c r="D22" s="64"/>
      <c r="E22" s="65"/>
      <c r="F22" s="65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 x14ac:dyDescent="0.3">
      <c r="A23" s="61"/>
      <c r="B23" s="63"/>
      <c r="C23" s="63"/>
      <c r="D23" s="64"/>
      <c r="E23" s="65"/>
      <c r="F23" s="65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spans="1:25" x14ac:dyDescent="0.3">
      <c r="A24" s="61"/>
      <c r="B24" s="63"/>
      <c r="C24" s="63"/>
      <c r="D24" s="64"/>
      <c r="E24" s="65"/>
      <c r="F24" s="65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spans="1:25" x14ac:dyDescent="0.3">
      <c r="A25" s="61"/>
      <c r="B25" s="63"/>
      <c r="C25" s="63"/>
      <c r="D25" s="64"/>
      <c r="E25" s="65"/>
      <c r="F25" s="65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spans="1:25" x14ac:dyDescent="0.3">
      <c r="A26" s="123" t="s">
        <v>99</v>
      </c>
      <c r="B26" s="124"/>
      <c r="C26" s="124"/>
      <c r="D26" s="66">
        <f>F26</f>
        <v>0</v>
      </c>
      <c r="E26" s="59"/>
      <c r="F26" s="59">
        <f>SUM(F22:F25)</f>
        <v>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8" spans="1:25" x14ac:dyDescent="0.3">
      <c r="A28" s="125" t="s">
        <v>100</v>
      </c>
      <c r="B28" s="125"/>
      <c r="C28" s="72"/>
      <c r="D28" s="72" t="e">
        <f>F28</f>
        <v>#REF!</v>
      </c>
      <c r="E28" s="73"/>
      <c r="F28" s="72" t="e">
        <f>+F26+F18</f>
        <v>#REF!</v>
      </c>
      <c r="G28" s="74">
        <v>0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 spans="1:25" x14ac:dyDescent="0.3">
      <c r="A29" s="125" t="s">
        <v>100</v>
      </c>
      <c r="B29" s="125"/>
      <c r="C29" s="72"/>
      <c r="D29" s="72" t="e">
        <f>F29</f>
        <v>#REF!</v>
      </c>
      <c r="E29" s="73"/>
      <c r="F29" s="72" t="e">
        <f>+F28-G28</f>
        <v>#REF!</v>
      </c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</row>
    <row r="30" spans="1:25" x14ac:dyDescent="0.3">
      <c r="A30" s="126" t="s">
        <v>100</v>
      </c>
      <c r="B30" s="126"/>
      <c r="C30" s="76"/>
      <c r="D30" s="76" t="e">
        <f>F30</f>
        <v>#REF!</v>
      </c>
      <c r="E30" s="77"/>
      <c r="F30" s="76" t="e">
        <f>+F28-F29</f>
        <v>#REF!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</row>
    <row r="31" spans="1:25" x14ac:dyDescent="0.3">
      <c r="A31" s="78"/>
      <c r="B31" s="78"/>
      <c r="C31" s="79"/>
      <c r="D31" s="80"/>
      <c r="E31" s="81"/>
      <c r="F31" s="82"/>
      <c r="G31" s="74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 spans="1:25" x14ac:dyDescent="0.3">
      <c r="A32" s="127" t="s">
        <v>101</v>
      </c>
      <c r="B32" s="119"/>
      <c r="C32" s="119"/>
      <c r="D32" s="119"/>
      <c r="E32" s="83"/>
      <c r="F32" s="82"/>
      <c r="G32" s="74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</row>
    <row r="33" spans="1:25" x14ac:dyDescent="0.3">
      <c r="A33" s="84"/>
      <c r="B33" s="84"/>
      <c r="C33" s="84"/>
      <c r="D33" s="84"/>
      <c r="E33" s="85"/>
      <c r="F33" s="82"/>
      <c r="G33" s="74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 spans="1:25" x14ac:dyDescent="0.3">
      <c r="A34" s="84" t="s">
        <v>102</v>
      </c>
      <c r="B34" s="84"/>
      <c r="C34" s="84"/>
      <c r="D34" s="84"/>
      <c r="E34" s="85"/>
      <c r="F34" s="82"/>
      <c r="G34" s="74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 spans="1:25" x14ac:dyDescent="0.3">
      <c r="A35" s="84" t="s">
        <v>103</v>
      </c>
      <c r="B35" s="84"/>
      <c r="C35" s="84"/>
      <c r="D35" s="84"/>
      <c r="E35" s="85"/>
      <c r="F35" s="85"/>
      <c r="G35" s="74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 spans="1:25" x14ac:dyDescent="0.3">
      <c r="A36" s="84" t="s">
        <v>104</v>
      </c>
      <c r="B36" s="84"/>
      <c r="C36" s="84"/>
      <c r="D36" s="84"/>
      <c r="E36" s="85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</row>
    <row r="37" spans="1:25" x14ac:dyDescent="0.3">
      <c r="A37" s="84" t="s">
        <v>105</v>
      </c>
      <c r="B37" s="84"/>
      <c r="C37" s="84"/>
      <c r="D37" s="84"/>
      <c r="E37" s="85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</row>
    <row r="38" spans="1:25" x14ac:dyDescent="0.3">
      <c r="A38" s="84"/>
      <c r="B38" s="84"/>
      <c r="C38" s="84"/>
      <c r="D38" s="84"/>
      <c r="E38" s="83"/>
      <c r="F38" s="82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</row>
    <row r="39" spans="1:25" x14ac:dyDescent="0.3">
      <c r="A39" s="84" t="s">
        <v>106</v>
      </c>
      <c r="B39" s="84"/>
      <c r="C39" s="84"/>
      <c r="D39" s="84"/>
      <c r="E39" s="83"/>
      <c r="F39" s="83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</row>
    <row r="40" spans="1:25" x14ac:dyDescent="0.3">
      <c r="A40" s="84"/>
      <c r="B40" s="84"/>
      <c r="C40" s="84"/>
      <c r="D40" s="84"/>
      <c r="E40" s="83"/>
      <c r="F40" s="83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 spans="1:25" x14ac:dyDescent="0.3">
      <c r="A41" s="87" t="s">
        <v>107</v>
      </c>
      <c r="B41" s="87"/>
      <c r="C41" s="75"/>
      <c r="D41" s="75"/>
      <c r="E41" s="88"/>
      <c r="F41" s="88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</row>
    <row r="42" spans="1:25" x14ac:dyDescent="0.3">
      <c r="A42" s="87"/>
      <c r="B42" s="87"/>
      <c r="C42" s="75"/>
      <c r="D42" s="75"/>
      <c r="E42" s="88"/>
      <c r="F42" s="89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</row>
    <row r="43" spans="1:25" x14ac:dyDescent="0.3">
      <c r="A43" s="87"/>
      <c r="B43" s="87"/>
      <c r="C43" s="75"/>
      <c r="D43" s="75"/>
      <c r="E43" s="88"/>
      <c r="F43" s="89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</row>
    <row r="44" spans="1:25" x14ac:dyDescent="0.3">
      <c r="A44" s="87"/>
      <c r="B44" s="87"/>
      <c r="C44" s="75"/>
      <c r="D44" s="75"/>
      <c r="E44" s="88"/>
      <c r="F44" s="88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</row>
    <row r="45" spans="1:25" x14ac:dyDescent="0.3">
      <c r="A45" s="90" t="s">
        <v>108</v>
      </c>
      <c r="B45" s="91"/>
      <c r="C45" s="91"/>
      <c r="D45" s="91"/>
      <c r="E45" s="92"/>
      <c r="F45" s="88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</row>
    <row r="46" spans="1:25" x14ac:dyDescent="0.3">
      <c r="A46" s="78"/>
      <c r="B46" s="78"/>
      <c r="C46" s="78"/>
      <c r="D46" s="80"/>
      <c r="E46" s="81"/>
      <c r="F46" s="8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spans="1:25" x14ac:dyDescent="0.3">
      <c r="A47" s="78"/>
      <c r="B47" s="78"/>
      <c r="C47" s="78"/>
      <c r="D47" s="80"/>
      <c r="E47" s="81"/>
      <c r="F47" s="8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spans="1:25" x14ac:dyDescent="0.3">
      <c r="A48" s="78"/>
      <c r="B48" s="78"/>
      <c r="C48" s="78"/>
      <c r="D48" s="80"/>
      <c r="E48" s="81"/>
      <c r="F48" s="8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spans="1:25" x14ac:dyDescent="0.3">
      <c r="A49" s="78"/>
      <c r="B49" s="78"/>
      <c r="C49" s="78"/>
      <c r="D49" s="80"/>
      <c r="E49" s="81"/>
      <c r="F49" s="8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 x14ac:dyDescent="0.3">
      <c r="A50" s="78"/>
      <c r="B50" s="78"/>
      <c r="C50" s="78"/>
      <c r="D50" s="80"/>
      <c r="E50" s="81"/>
      <c r="F50" s="8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25" x14ac:dyDescent="0.3">
      <c r="A51" s="78"/>
      <c r="B51" s="78"/>
      <c r="C51" s="78"/>
      <c r="D51" s="80"/>
      <c r="E51" s="81"/>
      <c r="F51" s="8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spans="1:25" x14ac:dyDescent="0.3">
      <c r="A52" s="78"/>
      <c r="B52" s="78"/>
      <c r="C52" s="78"/>
      <c r="D52" s="80"/>
      <c r="E52" s="81"/>
      <c r="F52" s="8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 x14ac:dyDescent="0.3">
      <c r="A53" s="78"/>
      <c r="B53" s="78"/>
      <c r="C53" s="78"/>
      <c r="D53" s="80"/>
      <c r="E53" s="81"/>
      <c r="F53" s="8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 x14ac:dyDescent="0.3">
      <c r="A54" s="78"/>
      <c r="B54" s="78"/>
      <c r="C54" s="78"/>
      <c r="D54" s="80"/>
      <c r="E54" s="81"/>
      <c r="F54" s="8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 x14ac:dyDescent="0.3">
      <c r="A55" s="78"/>
      <c r="B55" s="78"/>
      <c r="C55" s="78"/>
      <c r="D55" s="80"/>
      <c r="E55" s="81"/>
      <c r="F55" s="8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 spans="1:25" x14ac:dyDescent="0.3">
      <c r="A56" s="52"/>
      <c r="B56" s="52"/>
      <c r="C56" s="52"/>
      <c r="D56" s="52"/>
      <c r="E56" s="107"/>
      <c r="F56" s="107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 spans="1:25" x14ac:dyDescent="0.3">
      <c r="A57" s="52"/>
      <c r="B57" s="52"/>
      <c r="C57" s="52"/>
      <c r="D57" s="52"/>
      <c r="E57" s="107"/>
      <c r="F57" s="107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1:25" x14ac:dyDescent="0.3">
      <c r="A58" s="52"/>
      <c r="B58" s="52"/>
      <c r="C58" s="52"/>
      <c r="D58" s="52"/>
      <c r="E58" s="107"/>
      <c r="F58" s="107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spans="1:25" x14ac:dyDescent="0.3">
      <c r="A59" s="52"/>
      <c r="B59" s="52"/>
      <c r="C59" s="52"/>
      <c r="D59" s="52"/>
      <c r="E59" s="107"/>
      <c r="F59" s="107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spans="1:25" x14ac:dyDescent="0.3">
      <c r="A60" s="52"/>
      <c r="B60" s="52"/>
      <c r="C60" s="52"/>
      <c r="D60" s="52"/>
      <c r="E60" s="107"/>
      <c r="F60" s="107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x14ac:dyDescent="0.3">
      <c r="A61" s="52"/>
      <c r="B61" s="52"/>
      <c r="C61" s="52"/>
      <c r="D61" s="52"/>
      <c r="E61" s="107"/>
      <c r="F61" s="107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x14ac:dyDescent="0.3">
      <c r="A62" s="52"/>
      <c r="B62" s="52"/>
      <c r="C62" s="52"/>
      <c r="D62" s="52"/>
      <c r="E62" s="107"/>
      <c r="F62" s="107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x14ac:dyDescent="0.3">
      <c r="A63" s="52"/>
      <c r="B63" s="52"/>
      <c r="C63" s="52"/>
      <c r="D63" s="52"/>
      <c r="E63" s="107"/>
      <c r="F63" s="107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x14ac:dyDescent="0.3">
      <c r="A64" s="52"/>
      <c r="B64" s="52"/>
      <c r="C64" s="52"/>
      <c r="D64" s="52"/>
      <c r="E64" s="107"/>
      <c r="F64" s="107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x14ac:dyDescent="0.3">
      <c r="A65" s="52"/>
      <c r="B65" s="52"/>
      <c r="C65" s="52"/>
      <c r="D65" s="52"/>
      <c r="E65" s="107"/>
      <c r="F65" s="107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x14ac:dyDescent="0.3">
      <c r="A66" s="52"/>
      <c r="B66" s="52"/>
      <c r="C66" s="52"/>
      <c r="D66" s="52"/>
      <c r="E66" s="107"/>
      <c r="F66" s="107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x14ac:dyDescent="0.3">
      <c r="A67" s="52"/>
      <c r="B67" s="52"/>
      <c r="C67" s="52"/>
      <c r="D67" s="52"/>
      <c r="E67" s="107"/>
      <c r="F67" s="107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x14ac:dyDescent="0.3">
      <c r="A68" s="52"/>
      <c r="B68" s="52"/>
      <c r="C68" s="52"/>
      <c r="D68" s="52"/>
      <c r="E68" s="107"/>
      <c r="F68" s="107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x14ac:dyDescent="0.3">
      <c r="A69" s="52"/>
      <c r="B69" s="52"/>
      <c r="C69" s="52"/>
      <c r="D69" s="52"/>
      <c r="E69" s="107"/>
      <c r="F69" s="107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x14ac:dyDescent="0.3">
      <c r="A70" s="52"/>
      <c r="B70" s="52"/>
      <c r="C70" s="52"/>
      <c r="D70" s="52"/>
      <c r="E70" s="107"/>
      <c r="F70" s="107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x14ac:dyDescent="0.3">
      <c r="A71" s="52"/>
      <c r="B71" s="52"/>
      <c r="C71" s="52"/>
      <c r="D71" s="52"/>
      <c r="E71" s="107"/>
      <c r="F71" s="107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x14ac:dyDescent="0.3">
      <c r="A72" s="52"/>
      <c r="B72" s="52"/>
      <c r="C72" s="52"/>
      <c r="D72" s="52"/>
      <c r="E72" s="107"/>
      <c r="F72" s="107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x14ac:dyDescent="0.3">
      <c r="A73" s="52"/>
      <c r="B73" s="52"/>
      <c r="C73" s="52"/>
      <c r="D73" s="52"/>
      <c r="E73" s="107"/>
      <c r="F73" s="107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x14ac:dyDescent="0.3">
      <c r="A74" s="52"/>
      <c r="B74" s="52"/>
      <c r="C74" s="52"/>
      <c r="D74" s="52"/>
      <c r="E74" s="107"/>
      <c r="F74" s="107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x14ac:dyDescent="0.3">
      <c r="A75" s="52"/>
      <c r="B75" s="52"/>
      <c r="C75" s="52"/>
      <c r="D75" s="52"/>
      <c r="E75" s="107"/>
      <c r="F75" s="107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x14ac:dyDescent="0.3">
      <c r="A76" s="52"/>
      <c r="B76" s="52"/>
      <c r="C76" s="52"/>
      <c r="D76" s="52"/>
      <c r="E76" s="107"/>
      <c r="F76" s="107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x14ac:dyDescent="0.3">
      <c r="A77" s="52"/>
      <c r="B77" s="52"/>
      <c r="C77" s="52"/>
      <c r="D77" s="52"/>
      <c r="E77" s="107"/>
      <c r="F77" s="107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x14ac:dyDescent="0.3">
      <c r="A78" s="52"/>
      <c r="B78" s="52"/>
      <c r="C78" s="52"/>
      <c r="D78" s="52"/>
      <c r="E78" s="107"/>
      <c r="F78" s="107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x14ac:dyDescent="0.3">
      <c r="A79" s="52"/>
      <c r="B79" s="52"/>
      <c r="C79" s="52"/>
      <c r="D79" s="52"/>
      <c r="E79" s="107"/>
      <c r="F79" s="107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x14ac:dyDescent="0.3">
      <c r="A80" s="52"/>
      <c r="B80" s="52"/>
      <c r="C80" s="52"/>
      <c r="D80" s="52"/>
      <c r="E80" s="107"/>
      <c r="F80" s="107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x14ac:dyDescent="0.3">
      <c r="A81" s="52"/>
      <c r="B81" s="52"/>
      <c r="C81" s="52"/>
      <c r="D81" s="52"/>
      <c r="E81" s="107"/>
      <c r="F81" s="107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x14ac:dyDescent="0.3">
      <c r="A82" s="52"/>
      <c r="B82" s="52"/>
      <c r="C82" s="52"/>
      <c r="D82" s="52"/>
      <c r="E82" s="107"/>
      <c r="F82" s="107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x14ac:dyDescent="0.3">
      <c r="A83" s="52"/>
      <c r="B83" s="52"/>
      <c r="C83" s="52"/>
      <c r="D83" s="52"/>
      <c r="E83" s="107"/>
      <c r="F83" s="107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x14ac:dyDescent="0.3">
      <c r="A84" s="52"/>
      <c r="B84" s="52"/>
      <c r="C84" s="52"/>
      <c r="D84" s="52"/>
      <c r="E84" s="107"/>
      <c r="F84" s="107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x14ac:dyDescent="0.3">
      <c r="A85" s="52"/>
      <c r="B85" s="52"/>
      <c r="C85" s="52"/>
      <c r="D85" s="52"/>
      <c r="E85" s="107"/>
      <c r="F85" s="107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 spans="1:25" x14ac:dyDescent="0.3">
      <c r="A86" s="52"/>
      <c r="B86" s="52"/>
      <c r="C86" s="52"/>
      <c r="D86" s="52"/>
      <c r="E86" s="107"/>
      <c r="F86" s="107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 spans="1:25" x14ac:dyDescent="0.3">
      <c r="A87" s="52"/>
      <c r="B87" s="52"/>
      <c r="C87" s="52"/>
      <c r="D87" s="52"/>
      <c r="E87" s="107"/>
      <c r="F87" s="107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 spans="1:25" x14ac:dyDescent="0.3">
      <c r="A88" s="52"/>
      <c r="B88" s="52"/>
      <c r="C88" s="52"/>
      <c r="D88" s="52"/>
      <c r="E88" s="107"/>
      <c r="F88" s="107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spans="1:25" x14ac:dyDescent="0.3">
      <c r="A89" s="52"/>
      <c r="B89" s="52"/>
      <c r="C89" s="52"/>
      <c r="D89" s="52"/>
      <c r="E89" s="107"/>
      <c r="F89" s="107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 spans="1:25" x14ac:dyDescent="0.3">
      <c r="A90" s="52"/>
      <c r="B90" s="52"/>
      <c r="C90" s="52"/>
      <c r="D90" s="52"/>
      <c r="E90" s="107"/>
      <c r="F90" s="107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spans="1:25" x14ac:dyDescent="0.3">
      <c r="A91" s="52"/>
      <c r="B91" s="52"/>
      <c r="C91" s="52"/>
      <c r="D91" s="52"/>
      <c r="E91" s="107"/>
      <c r="F91" s="107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spans="1:25" x14ac:dyDescent="0.3">
      <c r="A92" s="52"/>
      <c r="B92" s="52"/>
      <c r="C92" s="52"/>
      <c r="D92" s="52"/>
      <c r="E92" s="107"/>
      <c r="F92" s="107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 spans="1:25" x14ac:dyDescent="0.3">
      <c r="A93" s="52"/>
      <c r="B93" s="52"/>
      <c r="C93" s="52"/>
      <c r="D93" s="52"/>
      <c r="E93" s="107"/>
      <c r="F93" s="107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</row>
    <row r="94" spans="1:25" x14ac:dyDescent="0.3">
      <c r="A94" s="52"/>
      <c r="B94" s="52"/>
      <c r="C94" s="52"/>
      <c r="D94" s="52"/>
      <c r="E94" s="107"/>
      <c r="F94" s="107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 spans="1:25" x14ac:dyDescent="0.3">
      <c r="A95" s="52"/>
      <c r="B95" s="52"/>
      <c r="C95" s="52"/>
      <c r="D95" s="52"/>
      <c r="E95" s="107"/>
      <c r="F95" s="107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 spans="1:25" x14ac:dyDescent="0.3">
      <c r="A96" s="52"/>
      <c r="B96" s="52"/>
      <c r="C96" s="52"/>
      <c r="D96" s="52"/>
      <c r="E96" s="107"/>
      <c r="F96" s="107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 spans="1:25" x14ac:dyDescent="0.3">
      <c r="A97" s="52"/>
      <c r="B97" s="52"/>
      <c r="C97" s="52"/>
      <c r="D97" s="52"/>
      <c r="E97" s="107"/>
      <c r="F97" s="107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 spans="1:25" x14ac:dyDescent="0.3">
      <c r="A98" s="52"/>
      <c r="B98" s="52"/>
      <c r="C98" s="52"/>
      <c r="D98" s="52"/>
      <c r="E98" s="107"/>
      <c r="F98" s="107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 spans="1:25" x14ac:dyDescent="0.3">
      <c r="A99" s="52"/>
      <c r="B99" s="52"/>
      <c r="C99" s="52"/>
      <c r="D99" s="52"/>
      <c r="E99" s="107"/>
      <c r="F99" s="107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</row>
    <row r="100" spans="1:25" x14ac:dyDescent="0.3">
      <c r="A100" s="52"/>
      <c r="B100" s="52"/>
      <c r="C100" s="52"/>
      <c r="D100" s="52"/>
      <c r="E100" s="107"/>
      <c r="F100" s="107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 spans="1:25" x14ac:dyDescent="0.3">
      <c r="A101" s="52"/>
      <c r="B101" s="52"/>
      <c r="C101" s="52"/>
      <c r="D101" s="52"/>
      <c r="E101" s="107"/>
      <c r="F101" s="107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 spans="1:25" x14ac:dyDescent="0.3">
      <c r="A102" s="52"/>
      <c r="B102" s="52"/>
      <c r="C102" s="52"/>
      <c r="D102" s="52"/>
      <c r="E102" s="107"/>
      <c r="F102" s="107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 spans="1:25" x14ac:dyDescent="0.3">
      <c r="A103" s="52"/>
      <c r="B103" s="52"/>
      <c r="C103" s="52"/>
      <c r="D103" s="52"/>
      <c r="E103" s="107"/>
      <c r="F103" s="107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 spans="1:25" x14ac:dyDescent="0.3">
      <c r="A104" s="52"/>
      <c r="B104" s="52"/>
      <c r="C104" s="52"/>
      <c r="D104" s="52"/>
      <c r="E104" s="107"/>
      <c r="F104" s="107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</row>
    <row r="105" spans="1:25" x14ac:dyDescent="0.3">
      <c r="A105" s="52"/>
      <c r="B105" s="52"/>
      <c r="C105" s="52"/>
      <c r="D105" s="52"/>
      <c r="E105" s="107"/>
      <c r="F105" s="107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 spans="1:25" x14ac:dyDescent="0.3">
      <c r="A106" s="52"/>
      <c r="B106" s="52"/>
      <c r="C106" s="52"/>
      <c r="D106" s="52"/>
      <c r="E106" s="107"/>
      <c r="F106" s="107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 spans="1:25" x14ac:dyDescent="0.3">
      <c r="A107" s="52"/>
      <c r="B107" s="52"/>
      <c r="C107" s="52"/>
      <c r="D107" s="52"/>
      <c r="E107" s="107"/>
      <c r="F107" s="107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 spans="1:25" x14ac:dyDescent="0.3">
      <c r="A108" s="52"/>
      <c r="B108" s="52"/>
      <c r="C108" s="52"/>
      <c r="D108" s="52"/>
      <c r="E108" s="107"/>
      <c r="F108" s="107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 spans="1:25" x14ac:dyDescent="0.3">
      <c r="A109" s="52"/>
      <c r="B109" s="52"/>
      <c r="C109" s="52"/>
      <c r="D109" s="52"/>
      <c r="E109" s="107"/>
      <c r="F109" s="107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 spans="1:25" x14ac:dyDescent="0.3">
      <c r="A110" s="52"/>
      <c r="B110" s="52"/>
      <c r="C110" s="52"/>
      <c r="D110" s="52"/>
      <c r="E110" s="107"/>
      <c r="F110" s="107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 spans="1:25" x14ac:dyDescent="0.3">
      <c r="A111" s="52"/>
      <c r="B111" s="52"/>
      <c r="C111" s="52"/>
      <c r="D111" s="52"/>
      <c r="E111" s="107"/>
      <c r="F111" s="107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 spans="1:25" x14ac:dyDescent="0.3">
      <c r="A112" s="52"/>
      <c r="B112" s="52"/>
      <c r="C112" s="52"/>
      <c r="D112" s="52"/>
      <c r="E112" s="107"/>
      <c r="F112" s="107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 spans="1:25" x14ac:dyDescent="0.3">
      <c r="A113" s="52"/>
      <c r="B113" s="52"/>
      <c r="C113" s="52"/>
      <c r="D113" s="52"/>
      <c r="E113" s="107"/>
      <c r="F113" s="107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</row>
    <row r="114" spans="1:25" x14ac:dyDescent="0.3">
      <c r="A114" s="52"/>
      <c r="B114" s="52"/>
      <c r="C114" s="52"/>
      <c r="D114" s="52"/>
      <c r="E114" s="107"/>
      <c r="F114" s="107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 spans="1:25" x14ac:dyDescent="0.3">
      <c r="A115" s="52"/>
      <c r="B115" s="52"/>
      <c r="C115" s="52"/>
      <c r="D115" s="52"/>
      <c r="E115" s="107"/>
      <c r="F115" s="107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 spans="1:25" x14ac:dyDescent="0.3">
      <c r="A116" s="52"/>
      <c r="B116" s="52"/>
      <c r="C116" s="52"/>
      <c r="D116" s="52"/>
      <c r="E116" s="107"/>
      <c r="F116" s="107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 spans="1:25" x14ac:dyDescent="0.3">
      <c r="A117" s="52"/>
      <c r="B117" s="52"/>
      <c r="C117" s="52"/>
      <c r="D117" s="52"/>
      <c r="E117" s="107"/>
      <c r="F117" s="107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 spans="1:25" x14ac:dyDescent="0.3">
      <c r="A118" s="52"/>
      <c r="B118" s="52"/>
      <c r="C118" s="52"/>
      <c r="D118" s="52"/>
      <c r="E118" s="107"/>
      <c r="F118" s="107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</row>
    <row r="119" spans="1:25" x14ac:dyDescent="0.3">
      <c r="A119" s="52"/>
      <c r="B119" s="52"/>
      <c r="C119" s="52"/>
      <c r="D119" s="52"/>
      <c r="E119" s="107"/>
      <c r="F119" s="107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</row>
    <row r="120" spans="1:25" x14ac:dyDescent="0.3">
      <c r="A120" s="52"/>
      <c r="B120" s="52"/>
      <c r="C120" s="52"/>
      <c r="D120" s="52"/>
      <c r="E120" s="107"/>
      <c r="F120" s="107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 spans="1:25" x14ac:dyDescent="0.3">
      <c r="A121" s="52"/>
      <c r="B121" s="52"/>
      <c r="C121" s="52"/>
      <c r="D121" s="52"/>
      <c r="E121" s="107"/>
      <c r="F121" s="107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 spans="1:25" x14ac:dyDescent="0.3">
      <c r="A122" s="52"/>
      <c r="B122" s="52"/>
      <c r="C122" s="52"/>
      <c r="D122" s="52"/>
      <c r="E122" s="107"/>
      <c r="F122" s="107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</row>
    <row r="123" spans="1:25" x14ac:dyDescent="0.3">
      <c r="A123" s="52"/>
      <c r="B123" s="52"/>
      <c r="C123" s="52"/>
      <c r="D123" s="52"/>
      <c r="E123" s="107"/>
      <c r="F123" s="107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</row>
    <row r="124" spans="1:25" x14ac:dyDescent="0.3">
      <c r="A124" s="52"/>
      <c r="B124" s="52"/>
      <c r="C124" s="52"/>
      <c r="D124" s="52"/>
      <c r="E124" s="107"/>
      <c r="F124" s="107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 spans="1:25" x14ac:dyDescent="0.3">
      <c r="A125" s="52"/>
      <c r="B125" s="52"/>
      <c r="C125" s="52"/>
      <c r="D125" s="52"/>
      <c r="E125" s="107"/>
      <c r="F125" s="107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 spans="1:25" x14ac:dyDescent="0.3">
      <c r="A126" s="52"/>
      <c r="B126" s="52"/>
      <c r="C126" s="52"/>
      <c r="D126" s="52"/>
      <c r="E126" s="107"/>
      <c r="F126" s="107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 spans="1:25" x14ac:dyDescent="0.3">
      <c r="A127" s="52"/>
      <c r="B127" s="52"/>
      <c r="C127" s="52"/>
      <c r="D127" s="52"/>
      <c r="E127" s="107"/>
      <c r="F127" s="107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 spans="1:25" x14ac:dyDescent="0.3">
      <c r="A128" s="52"/>
      <c r="B128" s="52"/>
      <c r="C128" s="52"/>
      <c r="D128" s="52"/>
      <c r="E128" s="107"/>
      <c r="F128" s="107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 spans="1:25" x14ac:dyDescent="0.3">
      <c r="A129" s="52"/>
      <c r="B129" s="52"/>
      <c r="C129" s="52"/>
      <c r="D129" s="52"/>
      <c r="E129" s="107"/>
      <c r="F129" s="107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spans="1:25" x14ac:dyDescent="0.3">
      <c r="A130" s="52"/>
      <c r="B130" s="52"/>
      <c r="C130" s="52"/>
      <c r="D130" s="52"/>
      <c r="E130" s="107"/>
      <c r="F130" s="107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1" spans="1:25" x14ac:dyDescent="0.3">
      <c r="A131" s="52"/>
      <c r="B131" s="52"/>
      <c r="C131" s="52"/>
      <c r="D131" s="52"/>
      <c r="E131" s="107"/>
      <c r="F131" s="107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 spans="1:25" x14ac:dyDescent="0.3">
      <c r="A132" s="52"/>
      <c r="B132" s="52"/>
      <c r="C132" s="52"/>
      <c r="D132" s="52"/>
      <c r="E132" s="107"/>
      <c r="F132" s="107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</row>
    <row r="133" spans="1:25" x14ac:dyDescent="0.3">
      <c r="A133" s="52"/>
      <c r="B133" s="52"/>
      <c r="C133" s="52"/>
      <c r="D133" s="52"/>
      <c r="E133" s="107"/>
      <c r="F133" s="107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</row>
    <row r="134" spans="1:25" x14ac:dyDescent="0.3">
      <c r="A134" s="52"/>
      <c r="B134" s="52"/>
      <c r="C134" s="52"/>
      <c r="D134" s="52"/>
      <c r="E134" s="107"/>
      <c r="F134" s="107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 spans="1:25" x14ac:dyDescent="0.3">
      <c r="A135" s="52"/>
      <c r="B135" s="52"/>
      <c r="C135" s="52"/>
      <c r="D135" s="52"/>
      <c r="E135" s="107"/>
      <c r="F135" s="107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</row>
    <row r="136" spans="1:25" x14ac:dyDescent="0.3">
      <c r="A136" s="52"/>
      <c r="B136" s="52"/>
      <c r="C136" s="52"/>
      <c r="D136" s="52"/>
      <c r="E136" s="107"/>
      <c r="F136" s="107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 spans="1:25" x14ac:dyDescent="0.3">
      <c r="A137" s="52"/>
      <c r="B137" s="52"/>
      <c r="C137" s="52"/>
      <c r="D137" s="52"/>
      <c r="E137" s="107"/>
      <c r="F137" s="107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8" spans="1:25" x14ac:dyDescent="0.3">
      <c r="A138" s="52"/>
      <c r="B138" s="52"/>
      <c r="C138" s="52"/>
      <c r="D138" s="52"/>
      <c r="E138" s="107"/>
      <c r="F138" s="107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</row>
    <row r="139" spans="1:25" x14ac:dyDescent="0.3">
      <c r="A139" s="52"/>
      <c r="B139" s="52"/>
      <c r="C139" s="52"/>
      <c r="D139" s="52"/>
      <c r="E139" s="107"/>
      <c r="F139" s="107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 spans="1:25" x14ac:dyDescent="0.3">
      <c r="A140" s="52"/>
      <c r="B140" s="52"/>
      <c r="C140" s="52"/>
      <c r="D140" s="52"/>
      <c r="E140" s="107"/>
      <c r="F140" s="107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 spans="1:25" x14ac:dyDescent="0.3">
      <c r="A141" s="52"/>
      <c r="B141" s="52"/>
      <c r="C141" s="52"/>
      <c r="D141" s="52"/>
      <c r="E141" s="107"/>
      <c r="F141" s="107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 spans="1:25" x14ac:dyDescent="0.3">
      <c r="A142" s="52"/>
      <c r="B142" s="52"/>
      <c r="C142" s="52"/>
      <c r="D142" s="52"/>
      <c r="E142" s="107"/>
      <c r="F142" s="107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 spans="1:25" x14ac:dyDescent="0.3">
      <c r="A143" s="52"/>
      <c r="B143" s="52"/>
      <c r="C143" s="52"/>
      <c r="D143" s="52"/>
      <c r="E143" s="107"/>
      <c r="F143" s="107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 spans="1:25" x14ac:dyDescent="0.3">
      <c r="A144" s="52"/>
      <c r="B144" s="52"/>
      <c r="C144" s="52"/>
      <c r="D144" s="52"/>
      <c r="E144" s="107"/>
      <c r="F144" s="107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 spans="1:25" x14ac:dyDescent="0.3">
      <c r="A145" s="52"/>
      <c r="B145" s="52"/>
      <c r="C145" s="52"/>
      <c r="D145" s="52"/>
      <c r="E145" s="107"/>
      <c r="F145" s="107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 spans="1:25" x14ac:dyDescent="0.3">
      <c r="A146" s="52"/>
      <c r="B146" s="52"/>
      <c r="C146" s="52"/>
      <c r="D146" s="52"/>
      <c r="E146" s="107"/>
      <c r="F146" s="107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 spans="1:25" x14ac:dyDescent="0.3">
      <c r="A147" s="52"/>
      <c r="B147" s="52"/>
      <c r="C147" s="52"/>
      <c r="D147" s="52"/>
      <c r="E147" s="107"/>
      <c r="F147" s="107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 spans="1:25" x14ac:dyDescent="0.3">
      <c r="A148" s="52"/>
      <c r="B148" s="52"/>
      <c r="C148" s="52"/>
      <c r="D148" s="52"/>
      <c r="E148" s="107"/>
      <c r="F148" s="107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spans="1:25" x14ac:dyDescent="0.3">
      <c r="A149" s="52"/>
      <c r="B149" s="52"/>
      <c r="C149" s="52"/>
      <c r="D149" s="52"/>
      <c r="E149" s="107"/>
      <c r="F149" s="107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 spans="1:25" x14ac:dyDescent="0.3">
      <c r="A150" s="52"/>
      <c r="B150" s="52"/>
      <c r="C150" s="52"/>
      <c r="D150" s="52"/>
      <c r="E150" s="107"/>
      <c r="F150" s="107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 spans="1:25" x14ac:dyDescent="0.3">
      <c r="A151" s="52"/>
      <c r="B151" s="52"/>
      <c r="C151" s="52"/>
      <c r="D151" s="52"/>
      <c r="E151" s="107"/>
      <c r="F151" s="107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 spans="1:25" x14ac:dyDescent="0.3">
      <c r="A152" s="52"/>
      <c r="B152" s="52"/>
      <c r="C152" s="52"/>
      <c r="D152" s="52"/>
      <c r="E152" s="107"/>
      <c r="F152" s="107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</row>
    <row r="153" spans="1:25" x14ac:dyDescent="0.3">
      <c r="A153" s="52"/>
      <c r="B153" s="52"/>
      <c r="C153" s="52"/>
      <c r="D153" s="52"/>
      <c r="E153" s="107"/>
      <c r="F153" s="107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 spans="1:25" x14ac:dyDescent="0.3">
      <c r="A154" s="52"/>
      <c r="B154" s="52"/>
      <c r="C154" s="52"/>
      <c r="D154" s="52"/>
      <c r="E154" s="107"/>
      <c r="F154" s="107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</row>
    <row r="155" spans="1:25" x14ac:dyDescent="0.3">
      <c r="A155" s="52"/>
      <c r="B155" s="52"/>
      <c r="C155" s="52"/>
      <c r="D155" s="52"/>
      <c r="E155" s="107"/>
      <c r="F155" s="107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</row>
    <row r="156" spans="1:25" x14ac:dyDescent="0.3">
      <c r="A156" s="52"/>
      <c r="B156" s="52"/>
      <c r="C156" s="52"/>
      <c r="D156" s="52"/>
      <c r="E156" s="107"/>
      <c r="F156" s="107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 spans="1:25" x14ac:dyDescent="0.3">
      <c r="A157" s="52"/>
      <c r="B157" s="52"/>
      <c r="C157" s="52"/>
      <c r="D157" s="52"/>
      <c r="E157" s="107"/>
      <c r="F157" s="107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</row>
    <row r="158" spans="1:25" x14ac:dyDescent="0.3">
      <c r="A158" s="52"/>
      <c r="B158" s="52"/>
      <c r="C158" s="52"/>
      <c r="D158" s="52"/>
      <c r="E158" s="107"/>
      <c r="F158" s="107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 spans="1:25" x14ac:dyDescent="0.3">
      <c r="A159" s="52"/>
      <c r="B159" s="52"/>
      <c r="C159" s="52"/>
      <c r="D159" s="52"/>
      <c r="E159" s="107"/>
      <c r="F159" s="107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</row>
    <row r="160" spans="1:25" x14ac:dyDescent="0.3">
      <c r="A160" s="52"/>
      <c r="B160" s="52"/>
      <c r="C160" s="52"/>
      <c r="D160" s="52"/>
      <c r="E160" s="107"/>
      <c r="F160" s="107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spans="1:25" x14ac:dyDescent="0.3">
      <c r="A161" s="52"/>
      <c r="B161" s="52"/>
      <c r="C161" s="52"/>
      <c r="D161" s="52"/>
      <c r="E161" s="107"/>
      <c r="F161" s="107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</row>
    <row r="162" spans="1:25" x14ac:dyDescent="0.3">
      <c r="A162" s="52"/>
      <c r="B162" s="52"/>
      <c r="C162" s="52"/>
      <c r="D162" s="52"/>
      <c r="E162" s="107"/>
      <c r="F162" s="107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 spans="1:25" x14ac:dyDescent="0.3">
      <c r="A163" s="52"/>
      <c r="B163" s="52"/>
      <c r="C163" s="52"/>
      <c r="D163" s="52"/>
      <c r="E163" s="107"/>
      <c r="F163" s="107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 spans="1:25" x14ac:dyDescent="0.3">
      <c r="A164" s="52"/>
      <c r="B164" s="52"/>
      <c r="C164" s="52"/>
      <c r="D164" s="52"/>
      <c r="E164" s="107"/>
      <c r="F164" s="107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 spans="1:25" x14ac:dyDescent="0.3">
      <c r="A165" s="52"/>
      <c r="B165" s="52"/>
      <c r="C165" s="52"/>
      <c r="D165" s="52"/>
      <c r="E165" s="107"/>
      <c r="F165" s="107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 spans="1:25" x14ac:dyDescent="0.3">
      <c r="A166" s="52"/>
      <c r="B166" s="52"/>
      <c r="C166" s="52"/>
      <c r="D166" s="52"/>
      <c r="E166" s="107"/>
      <c r="F166" s="107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</row>
    <row r="167" spans="1:25" x14ac:dyDescent="0.3">
      <c r="A167" s="52"/>
      <c r="B167" s="52"/>
      <c r="C167" s="52"/>
      <c r="D167" s="52"/>
      <c r="E167" s="107"/>
      <c r="F167" s="107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</row>
    <row r="168" spans="1:25" x14ac:dyDescent="0.3">
      <c r="A168" s="52"/>
      <c r="B168" s="52"/>
      <c r="C168" s="52"/>
      <c r="D168" s="52"/>
      <c r="E168" s="107"/>
      <c r="F168" s="107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 spans="1:25" x14ac:dyDescent="0.3">
      <c r="A169" s="52"/>
      <c r="B169" s="52"/>
      <c r="C169" s="52"/>
      <c r="D169" s="52"/>
      <c r="E169" s="107"/>
      <c r="F169" s="107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</row>
    <row r="170" spans="1:25" x14ac:dyDescent="0.3">
      <c r="A170" s="52"/>
      <c r="B170" s="52"/>
      <c r="C170" s="52"/>
      <c r="D170" s="52"/>
      <c r="E170" s="107"/>
      <c r="F170" s="107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 spans="1:25" x14ac:dyDescent="0.3">
      <c r="A171" s="52"/>
      <c r="B171" s="52"/>
      <c r="C171" s="52"/>
      <c r="D171" s="52"/>
      <c r="E171" s="107"/>
      <c r="F171" s="107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 spans="1:25" x14ac:dyDescent="0.3">
      <c r="A172" s="52"/>
      <c r="B172" s="52"/>
      <c r="C172" s="52"/>
      <c r="D172" s="52"/>
      <c r="E172" s="107"/>
      <c r="F172" s="107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</row>
    <row r="173" spans="1:25" x14ac:dyDescent="0.3">
      <c r="A173" s="52"/>
      <c r="B173" s="52"/>
      <c r="C173" s="52"/>
      <c r="D173" s="52"/>
      <c r="E173" s="107"/>
      <c r="F173" s="107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</row>
    <row r="174" spans="1:25" x14ac:dyDescent="0.3">
      <c r="A174" s="52"/>
      <c r="B174" s="52"/>
      <c r="C174" s="52"/>
      <c r="D174" s="52"/>
      <c r="E174" s="107"/>
      <c r="F174" s="107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</row>
    <row r="175" spans="1:25" x14ac:dyDescent="0.3">
      <c r="A175" s="52"/>
      <c r="B175" s="52"/>
      <c r="C175" s="52"/>
      <c r="D175" s="52"/>
      <c r="E175" s="107"/>
      <c r="F175" s="107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 spans="1:25" x14ac:dyDescent="0.3">
      <c r="A176" s="52"/>
      <c r="B176" s="52"/>
      <c r="C176" s="52"/>
      <c r="D176" s="52"/>
      <c r="E176" s="107"/>
      <c r="F176" s="107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 spans="1:25" x14ac:dyDescent="0.3">
      <c r="A177" s="52"/>
      <c r="B177" s="52"/>
      <c r="C177" s="52"/>
      <c r="D177" s="52"/>
      <c r="E177" s="107"/>
      <c r="F177" s="107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 spans="1:25" x14ac:dyDescent="0.3">
      <c r="A178" s="52"/>
      <c r="B178" s="52"/>
      <c r="C178" s="52"/>
      <c r="D178" s="52"/>
      <c r="E178" s="107"/>
      <c r="F178" s="107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</row>
    <row r="179" spans="1:25" x14ac:dyDescent="0.3">
      <c r="A179" s="52"/>
      <c r="B179" s="52"/>
      <c r="C179" s="52"/>
      <c r="D179" s="52"/>
      <c r="E179" s="107"/>
      <c r="F179" s="107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</row>
    <row r="180" spans="1:25" x14ac:dyDescent="0.3">
      <c r="A180" s="52"/>
      <c r="B180" s="52"/>
      <c r="C180" s="52"/>
      <c r="D180" s="52"/>
      <c r="E180" s="107"/>
      <c r="F180" s="107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 spans="1:25" x14ac:dyDescent="0.3">
      <c r="A181" s="52"/>
      <c r="B181" s="52"/>
      <c r="C181" s="52"/>
      <c r="D181" s="52"/>
      <c r="E181" s="107"/>
      <c r="F181" s="107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</row>
    <row r="182" spans="1:25" x14ac:dyDescent="0.3">
      <c r="A182" s="52"/>
      <c r="B182" s="52"/>
      <c r="C182" s="52"/>
      <c r="D182" s="52"/>
      <c r="E182" s="107"/>
      <c r="F182" s="107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 spans="1:25" x14ac:dyDescent="0.3">
      <c r="A183" s="52"/>
      <c r="B183" s="52"/>
      <c r="C183" s="52"/>
      <c r="D183" s="52"/>
      <c r="E183" s="107"/>
      <c r="F183" s="107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 spans="1:25" x14ac:dyDescent="0.3">
      <c r="A184" s="52"/>
      <c r="B184" s="52"/>
      <c r="C184" s="52"/>
      <c r="D184" s="52"/>
      <c r="E184" s="107"/>
      <c r="F184" s="107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 spans="1:25" x14ac:dyDescent="0.3">
      <c r="A185" s="52"/>
      <c r="B185" s="52"/>
      <c r="C185" s="52"/>
      <c r="D185" s="52"/>
      <c r="E185" s="107"/>
      <c r="F185" s="107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</row>
    <row r="186" spans="1:25" x14ac:dyDescent="0.3">
      <c r="A186" s="52"/>
      <c r="B186" s="52"/>
      <c r="C186" s="52"/>
      <c r="D186" s="52"/>
      <c r="E186" s="107"/>
      <c r="F186" s="107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 spans="1:25" x14ac:dyDescent="0.3">
      <c r="A187" s="52"/>
      <c r="B187" s="52"/>
      <c r="C187" s="52"/>
      <c r="D187" s="52"/>
      <c r="E187" s="107"/>
      <c r="F187" s="107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 spans="1:25" x14ac:dyDescent="0.3">
      <c r="A188" s="52"/>
      <c r="B188" s="52"/>
      <c r="C188" s="52"/>
      <c r="D188" s="52"/>
      <c r="E188" s="107"/>
      <c r="F188" s="107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</row>
    <row r="189" spans="1:25" x14ac:dyDescent="0.3">
      <c r="A189" s="52"/>
      <c r="B189" s="52"/>
      <c r="C189" s="52"/>
      <c r="D189" s="52"/>
      <c r="E189" s="107"/>
      <c r="F189" s="107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</row>
    <row r="190" spans="1:25" x14ac:dyDescent="0.3">
      <c r="A190" s="52"/>
      <c r="B190" s="52"/>
      <c r="C190" s="52"/>
      <c r="D190" s="52"/>
      <c r="E190" s="107"/>
      <c r="F190" s="107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</row>
    <row r="191" spans="1:25" x14ac:dyDescent="0.3">
      <c r="A191" s="52"/>
      <c r="B191" s="52"/>
      <c r="C191" s="52"/>
      <c r="D191" s="52"/>
      <c r="E191" s="107"/>
      <c r="F191" s="107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</row>
    <row r="192" spans="1:25" x14ac:dyDescent="0.3">
      <c r="A192" s="52"/>
      <c r="B192" s="52"/>
      <c r="C192" s="52"/>
      <c r="D192" s="52"/>
      <c r="E192" s="107"/>
      <c r="F192" s="107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</row>
    <row r="193" spans="1:25" x14ac:dyDescent="0.3">
      <c r="A193" s="52"/>
      <c r="B193" s="52"/>
      <c r="C193" s="52"/>
      <c r="D193" s="52"/>
      <c r="E193" s="107"/>
      <c r="F193" s="107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</row>
    <row r="194" spans="1:25" x14ac:dyDescent="0.3">
      <c r="A194" s="52"/>
      <c r="B194" s="52"/>
      <c r="C194" s="52"/>
      <c r="D194" s="52"/>
      <c r="E194" s="107"/>
      <c r="F194" s="107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</row>
    <row r="195" spans="1:25" x14ac:dyDescent="0.3">
      <c r="A195" s="52"/>
      <c r="B195" s="52"/>
      <c r="C195" s="52"/>
      <c r="D195" s="52"/>
      <c r="E195" s="107"/>
      <c r="F195" s="107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</row>
    <row r="196" spans="1:25" x14ac:dyDescent="0.3">
      <c r="A196" s="52"/>
      <c r="B196" s="52"/>
      <c r="C196" s="52"/>
      <c r="D196" s="52"/>
      <c r="E196" s="107"/>
      <c r="F196" s="107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</row>
    <row r="197" spans="1:25" x14ac:dyDescent="0.3">
      <c r="A197" s="52"/>
      <c r="B197" s="52"/>
      <c r="C197" s="52"/>
      <c r="D197" s="52"/>
      <c r="E197" s="107"/>
      <c r="F197" s="107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</row>
    <row r="198" spans="1:25" x14ac:dyDescent="0.3">
      <c r="A198" s="52"/>
      <c r="B198" s="52"/>
      <c r="C198" s="52"/>
      <c r="D198" s="52"/>
      <c r="E198" s="107"/>
      <c r="F198" s="107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</row>
    <row r="199" spans="1:25" x14ac:dyDescent="0.3">
      <c r="A199" s="52"/>
      <c r="B199" s="52"/>
      <c r="C199" s="52"/>
      <c r="D199" s="52"/>
      <c r="E199" s="107"/>
      <c r="F199" s="107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</row>
    <row r="200" spans="1:25" x14ac:dyDescent="0.3">
      <c r="A200" s="52"/>
      <c r="B200" s="52"/>
      <c r="C200" s="52"/>
      <c r="D200" s="52"/>
      <c r="E200" s="107"/>
      <c r="F200" s="107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</row>
    <row r="201" spans="1:25" x14ac:dyDescent="0.3">
      <c r="A201" s="52"/>
      <c r="B201" s="52"/>
      <c r="C201" s="52"/>
      <c r="D201" s="52"/>
      <c r="E201" s="107"/>
      <c r="F201" s="107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</row>
    <row r="202" spans="1:25" x14ac:dyDescent="0.3">
      <c r="A202" s="52"/>
      <c r="B202" s="52"/>
      <c r="C202" s="52"/>
      <c r="D202" s="52"/>
      <c r="E202" s="107"/>
      <c r="F202" s="107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</row>
    <row r="203" spans="1:25" x14ac:dyDescent="0.3">
      <c r="A203" s="52"/>
      <c r="B203" s="52"/>
      <c r="C203" s="52"/>
      <c r="D203" s="52"/>
      <c r="E203" s="107"/>
      <c r="F203" s="107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</row>
    <row r="204" spans="1:25" x14ac:dyDescent="0.3">
      <c r="A204" s="52"/>
      <c r="B204" s="52"/>
      <c r="C204" s="52"/>
      <c r="D204" s="52"/>
      <c r="E204" s="107"/>
      <c r="F204" s="107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</row>
    <row r="205" spans="1:25" x14ac:dyDescent="0.3">
      <c r="A205" s="52"/>
      <c r="B205" s="52"/>
      <c r="C205" s="52"/>
      <c r="D205" s="52"/>
      <c r="E205" s="107"/>
      <c r="F205" s="107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</row>
    <row r="206" spans="1:25" x14ac:dyDescent="0.3">
      <c r="A206" s="52"/>
      <c r="B206" s="52"/>
      <c r="C206" s="52"/>
      <c r="D206" s="52"/>
      <c r="E206" s="107"/>
      <c r="F206" s="107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</row>
    <row r="207" spans="1:25" x14ac:dyDescent="0.3">
      <c r="A207" s="52"/>
      <c r="B207" s="52"/>
      <c r="C207" s="52"/>
      <c r="D207" s="52"/>
      <c r="E207" s="107"/>
      <c r="F207" s="107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</row>
    <row r="208" spans="1:25" x14ac:dyDescent="0.3">
      <c r="A208" s="52"/>
      <c r="B208" s="52"/>
      <c r="C208" s="52"/>
      <c r="D208" s="52"/>
      <c r="E208" s="107"/>
      <c r="F208" s="107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</row>
    <row r="209" spans="1:25" x14ac:dyDescent="0.3">
      <c r="A209" s="52"/>
      <c r="B209" s="52"/>
      <c r="C209" s="52"/>
      <c r="D209" s="52"/>
      <c r="E209" s="107"/>
      <c r="F209" s="107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</row>
    <row r="210" spans="1:25" x14ac:dyDescent="0.3">
      <c r="A210" s="52"/>
      <c r="B210" s="52"/>
      <c r="C210" s="52"/>
      <c r="D210" s="52"/>
      <c r="E210" s="107"/>
      <c r="F210" s="107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</row>
    <row r="211" spans="1:25" x14ac:dyDescent="0.3">
      <c r="A211" s="52"/>
      <c r="B211" s="52"/>
      <c r="C211" s="52"/>
      <c r="D211" s="52"/>
      <c r="E211" s="107"/>
      <c r="F211" s="107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</row>
    <row r="212" spans="1:25" x14ac:dyDescent="0.3">
      <c r="A212" s="52"/>
      <c r="B212" s="52"/>
      <c r="C212" s="52"/>
      <c r="D212" s="52"/>
      <c r="E212" s="107"/>
      <c r="F212" s="107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</row>
    <row r="213" spans="1:25" x14ac:dyDescent="0.3">
      <c r="A213" s="52"/>
      <c r="B213" s="52"/>
      <c r="C213" s="52"/>
      <c r="D213" s="52"/>
      <c r="E213" s="107"/>
      <c r="F213" s="107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</row>
    <row r="214" spans="1:25" x14ac:dyDescent="0.3">
      <c r="A214" s="52"/>
      <c r="B214" s="52"/>
      <c r="C214" s="52"/>
      <c r="D214" s="52"/>
      <c r="E214" s="107"/>
      <c r="F214" s="107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</row>
    <row r="215" spans="1:25" x14ac:dyDescent="0.3">
      <c r="A215" s="52"/>
      <c r="B215" s="52"/>
      <c r="C215" s="52"/>
      <c r="D215" s="52"/>
      <c r="E215" s="107"/>
      <c r="F215" s="107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</row>
    <row r="216" spans="1:25" x14ac:dyDescent="0.3">
      <c r="A216" s="52"/>
      <c r="B216" s="52"/>
      <c r="C216" s="52"/>
      <c r="D216" s="52"/>
      <c r="E216" s="107"/>
      <c r="F216" s="107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</row>
    <row r="217" spans="1:25" x14ac:dyDescent="0.3">
      <c r="A217" s="52"/>
      <c r="B217" s="52"/>
      <c r="C217" s="52"/>
      <c r="D217" s="52"/>
      <c r="E217" s="107"/>
      <c r="F217" s="107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</row>
    <row r="218" spans="1:25" x14ac:dyDescent="0.3">
      <c r="A218" s="52"/>
      <c r="B218" s="52"/>
      <c r="C218" s="52"/>
      <c r="D218" s="52"/>
      <c r="E218" s="107"/>
      <c r="F218" s="107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</row>
    <row r="219" spans="1:25" x14ac:dyDescent="0.3">
      <c r="A219" s="52"/>
      <c r="B219" s="52"/>
      <c r="C219" s="52"/>
      <c r="D219" s="52"/>
      <c r="E219" s="107"/>
      <c r="F219" s="107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</row>
    <row r="220" spans="1:25" x14ac:dyDescent="0.3">
      <c r="A220" s="52"/>
      <c r="B220" s="52"/>
      <c r="C220" s="52"/>
      <c r="D220" s="52"/>
      <c r="E220" s="107"/>
      <c r="F220" s="107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</row>
    <row r="221" spans="1:25" x14ac:dyDescent="0.3">
      <c r="A221" s="52"/>
      <c r="B221" s="52"/>
      <c r="C221" s="52"/>
      <c r="D221" s="52"/>
      <c r="E221" s="107"/>
      <c r="F221" s="107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</row>
    <row r="222" spans="1:25" x14ac:dyDescent="0.3">
      <c r="A222" s="52"/>
      <c r="B222" s="52"/>
      <c r="C222" s="52"/>
      <c r="D222" s="52"/>
      <c r="E222" s="107"/>
      <c r="F222" s="107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</row>
    <row r="223" spans="1:25" x14ac:dyDescent="0.3">
      <c r="A223" s="52"/>
      <c r="B223" s="52"/>
      <c r="C223" s="52"/>
      <c r="D223" s="52"/>
      <c r="E223" s="107"/>
      <c r="F223" s="107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</row>
    <row r="224" spans="1:25" x14ac:dyDescent="0.3">
      <c r="A224" s="52"/>
      <c r="B224" s="52"/>
      <c r="C224" s="52"/>
      <c r="D224" s="52"/>
      <c r="E224" s="107"/>
      <c r="F224" s="107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</row>
    <row r="225" spans="1:25" x14ac:dyDescent="0.3">
      <c r="A225" s="52"/>
      <c r="B225" s="52"/>
      <c r="C225" s="52"/>
      <c r="D225" s="52"/>
      <c r="E225" s="107"/>
      <c r="F225" s="107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</row>
    <row r="226" spans="1:25" x14ac:dyDescent="0.3">
      <c r="A226" s="52"/>
      <c r="B226" s="52"/>
      <c r="C226" s="52"/>
      <c r="D226" s="52"/>
      <c r="E226" s="107"/>
      <c r="F226" s="107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</row>
    <row r="227" spans="1:25" x14ac:dyDescent="0.3">
      <c r="A227" s="52"/>
      <c r="B227" s="52"/>
      <c r="C227" s="52"/>
      <c r="D227" s="52"/>
      <c r="E227" s="107"/>
      <c r="F227" s="107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</row>
    <row r="228" spans="1:25" x14ac:dyDescent="0.3">
      <c r="A228" s="52"/>
      <c r="B228" s="52"/>
      <c r="C228" s="52"/>
      <c r="D228" s="52"/>
      <c r="E228" s="107"/>
      <c r="F228" s="107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</row>
    <row r="229" spans="1:25" x14ac:dyDescent="0.3">
      <c r="A229" s="52"/>
      <c r="B229" s="52"/>
      <c r="C229" s="52"/>
      <c r="D229" s="52"/>
      <c r="E229" s="107"/>
      <c r="F229" s="107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</row>
    <row r="230" spans="1:25" x14ac:dyDescent="0.3">
      <c r="A230" s="52"/>
      <c r="B230" s="52"/>
      <c r="C230" s="52"/>
      <c r="D230" s="52"/>
      <c r="E230" s="107"/>
      <c r="F230" s="107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</row>
    <row r="231" spans="1:25" x14ac:dyDescent="0.3">
      <c r="A231" s="52"/>
      <c r="B231" s="52"/>
      <c r="C231" s="52"/>
      <c r="D231" s="52"/>
      <c r="E231" s="107"/>
      <c r="F231" s="107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</row>
    <row r="232" spans="1:25" x14ac:dyDescent="0.3">
      <c r="A232" s="52"/>
      <c r="B232" s="52"/>
      <c r="C232" s="52"/>
      <c r="D232" s="52"/>
      <c r="E232" s="107"/>
      <c r="F232" s="107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</row>
    <row r="233" spans="1:25" x14ac:dyDescent="0.3">
      <c r="A233" s="52"/>
      <c r="B233" s="52"/>
      <c r="C233" s="52"/>
      <c r="D233" s="52"/>
      <c r="E233" s="107"/>
      <c r="F233" s="107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</row>
    <row r="234" spans="1:25" x14ac:dyDescent="0.3">
      <c r="A234" s="52"/>
      <c r="B234" s="52"/>
      <c r="C234" s="52"/>
      <c r="D234" s="52"/>
      <c r="E234" s="107"/>
      <c r="F234" s="107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</row>
    <row r="235" spans="1:25" x14ac:dyDescent="0.3">
      <c r="A235" s="52"/>
      <c r="B235" s="52"/>
      <c r="C235" s="52"/>
      <c r="D235" s="52"/>
      <c r="E235" s="107"/>
      <c r="F235" s="107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</row>
    <row r="236" spans="1:25" x14ac:dyDescent="0.3">
      <c r="A236" s="52"/>
      <c r="B236" s="52"/>
      <c r="C236" s="52"/>
      <c r="D236" s="52"/>
      <c r="E236" s="107"/>
      <c r="F236" s="107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</row>
    <row r="237" spans="1:25" x14ac:dyDescent="0.3">
      <c r="A237" s="52"/>
      <c r="B237" s="52"/>
      <c r="C237" s="52"/>
      <c r="D237" s="52"/>
      <c r="E237" s="107"/>
      <c r="F237" s="107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</row>
    <row r="238" spans="1:25" x14ac:dyDescent="0.3">
      <c r="A238" s="52"/>
      <c r="B238" s="52"/>
      <c r="C238" s="52"/>
      <c r="D238" s="52"/>
      <c r="E238" s="107"/>
      <c r="F238" s="107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</row>
    <row r="239" spans="1:25" x14ac:dyDescent="0.3">
      <c r="A239" s="52"/>
      <c r="B239" s="52"/>
      <c r="C239" s="52"/>
      <c r="D239" s="52"/>
      <c r="E239" s="107"/>
      <c r="F239" s="107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</row>
    <row r="240" spans="1:25" x14ac:dyDescent="0.3">
      <c r="A240" s="52"/>
      <c r="B240" s="52"/>
      <c r="C240" s="52"/>
      <c r="D240" s="52"/>
      <c r="E240" s="107"/>
      <c r="F240" s="107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</row>
    <row r="241" spans="1:25" x14ac:dyDescent="0.3">
      <c r="A241" s="52"/>
      <c r="B241" s="52"/>
      <c r="C241" s="52"/>
      <c r="D241" s="52"/>
      <c r="E241" s="107"/>
      <c r="F241" s="107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</row>
    <row r="242" spans="1:25" x14ac:dyDescent="0.3">
      <c r="A242" s="52"/>
      <c r="B242" s="52"/>
      <c r="C242" s="52"/>
      <c r="D242" s="52"/>
      <c r="E242" s="107"/>
      <c r="F242" s="107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</row>
    <row r="243" spans="1:25" x14ac:dyDescent="0.3">
      <c r="A243" s="52"/>
      <c r="B243" s="52"/>
      <c r="C243" s="52"/>
      <c r="D243" s="52"/>
      <c r="E243" s="107"/>
      <c r="F243" s="107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</row>
    <row r="244" spans="1:25" x14ac:dyDescent="0.3">
      <c r="A244" s="52"/>
      <c r="B244" s="52"/>
      <c r="C244" s="52"/>
      <c r="D244" s="52"/>
      <c r="E244" s="107"/>
      <c r="F244" s="107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</row>
    <row r="245" spans="1:25" x14ac:dyDescent="0.3">
      <c r="A245" s="52"/>
      <c r="B245" s="52"/>
      <c r="C245" s="52"/>
      <c r="D245" s="52"/>
      <c r="E245" s="107"/>
      <c r="F245" s="107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</row>
    <row r="246" spans="1:25" x14ac:dyDescent="0.3">
      <c r="A246" s="52"/>
      <c r="B246" s="52"/>
      <c r="C246" s="52"/>
      <c r="D246" s="52"/>
      <c r="E246" s="107"/>
      <c r="F246" s="107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</row>
    <row r="247" spans="1:25" x14ac:dyDescent="0.3">
      <c r="A247" s="52"/>
      <c r="B247" s="52"/>
      <c r="C247" s="52"/>
      <c r="D247" s="52"/>
      <c r="E247" s="107"/>
      <c r="F247" s="107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</row>
    <row r="248" spans="1:25" x14ac:dyDescent="0.3">
      <c r="A248" s="52"/>
      <c r="B248" s="52"/>
      <c r="C248" s="52"/>
      <c r="D248" s="52"/>
      <c r="E248" s="107"/>
      <c r="F248" s="107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</row>
    <row r="249" spans="1:25" x14ac:dyDescent="0.3">
      <c r="A249" s="52"/>
      <c r="B249" s="52"/>
      <c r="C249" s="52"/>
      <c r="D249" s="52"/>
      <c r="E249" s="107"/>
      <c r="F249" s="107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</row>
    <row r="250" spans="1:25" x14ac:dyDescent="0.3">
      <c r="A250" s="52"/>
      <c r="B250" s="52"/>
      <c r="C250" s="52"/>
      <c r="D250" s="52"/>
      <c r="E250" s="107"/>
      <c r="F250" s="107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</row>
    <row r="251" spans="1:25" x14ac:dyDescent="0.3">
      <c r="A251" s="52"/>
      <c r="B251" s="52"/>
      <c r="C251" s="52"/>
      <c r="D251" s="52"/>
      <c r="E251" s="107"/>
      <c r="F251" s="107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</row>
    <row r="252" spans="1:25" x14ac:dyDescent="0.3">
      <c r="A252" s="52"/>
      <c r="B252" s="52"/>
      <c r="C252" s="52"/>
      <c r="D252" s="52"/>
      <c r="E252" s="107"/>
      <c r="F252" s="107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</row>
    <row r="253" spans="1:25" x14ac:dyDescent="0.3">
      <c r="A253" s="52"/>
      <c r="B253" s="52"/>
      <c r="C253" s="52"/>
      <c r="D253" s="52"/>
      <c r="E253" s="107"/>
      <c r="F253" s="107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</row>
    <row r="254" spans="1:25" x14ac:dyDescent="0.3">
      <c r="A254" s="52"/>
      <c r="B254" s="52"/>
      <c r="C254" s="52"/>
      <c r="D254" s="52"/>
      <c r="E254" s="107"/>
      <c r="F254" s="107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</row>
    <row r="255" spans="1:25" x14ac:dyDescent="0.3">
      <c r="A255" s="52"/>
      <c r="B255" s="52"/>
      <c r="C255" s="52"/>
      <c r="D255" s="52"/>
      <c r="E255" s="107"/>
      <c r="F255" s="107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</row>
    <row r="256" spans="1:25" x14ac:dyDescent="0.3">
      <c r="A256" s="52"/>
      <c r="B256" s="52"/>
      <c r="C256" s="52"/>
      <c r="D256" s="52"/>
      <c r="E256" s="107"/>
      <c r="F256" s="107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</row>
    <row r="257" spans="1:25" x14ac:dyDescent="0.3">
      <c r="A257" s="52"/>
      <c r="B257" s="52"/>
      <c r="C257" s="52"/>
      <c r="D257" s="52"/>
      <c r="E257" s="107"/>
      <c r="F257" s="107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</row>
    <row r="258" spans="1:25" x14ac:dyDescent="0.3">
      <c r="A258" s="52"/>
      <c r="B258" s="52"/>
      <c r="C258" s="52"/>
      <c r="D258" s="52"/>
      <c r="E258" s="107"/>
      <c r="F258" s="107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</row>
    <row r="259" spans="1:25" x14ac:dyDescent="0.3">
      <c r="A259" s="52"/>
      <c r="B259" s="52"/>
      <c r="C259" s="52"/>
      <c r="D259" s="52"/>
      <c r="E259" s="107"/>
      <c r="F259" s="107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</row>
    <row r="260" spans="1:25" x14ac:dyDescent="0.3">
      <c r="A260" s="52"/>
      <c r="B260" s="52"/>
      <c r="C260" s="52"/>
      <c r="D260" s="52"/>
      <c r="E260" s="107"/>
      <c r="F260" s="107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</row>
    <row r="261" spans="1:25" x14ac:dyDescent="0.3">
      <c r="A261" s="52"/>
      <c r="B261" s="52"/>
      <c r="C261" s="52"/>
      <c r="D261" s="52"/>
      <c r="E261" s="107"/>
      <c r="F261" s="107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</row>
    <row r="262" spans="1:25" x14ac:dyDescent="0.3">
      <c r="A262" s="52"/>
      <c r="B262" s="52"/>
      <c r="C262" s="52"/>
      <c r="D262" s="52"/>
      <c r="E262" s="107"/>
      <c r="F262" s="107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</row>
    <row r="263" spans="1:25" x14ac:dyDescent="0.3">
      <c r="A263" s="52"/>
      <c r="B263" s="52"/>
      <c r="C263" s="52"/>
      <c r="D263" s="52"/>
      <c r="E263" s="107"/>
      <c r="F263" s="107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</row>
    <row r="264" spans="1:25" x14ac:dyDescent="0.3">
      <c r="A264" s="52"/>
      <c r="B264" s="52"/>
      <c r="C264" s="52"/>
      <c r="D264" s="52"/>
      <c r="E264" s="107"/>
      <c r="F264" s="107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</row>
    <row r="265" spans="1:25" x14ac:dyDescent="0.3">
      <c r="A265" s="52"/>
      <c r="B265" s="52"/>
      <c r="C265" s="52"/>
      <c r="D265" s="52"/>
      <c r="E265" s="107"/>
      <c r="F265" s="107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</row>
    <row r="266" spans="1:25" x14ac:dyDescent="0.3">
      <c r="A266" s="52"/>
      <c r="B266" s="52"/>
      <c r="C266" s="52"/>
      <c r="D266" s="52"/>
      <c r="E266" s="107"/>
      <c r="F266" s="107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</row>
    <row r="267" spans="1:25" x14ac:dyDescent="0.3">
      <c r="A267" s="52"/>
      <c r="B267" s="52"/>
      <c r="C267" s="52"/>
      <c r="D267" s="52"/>
      <c r="E267" s="107"/>
      <c r="F267" s="107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</row>
    <row r="268" spans="1:25" x14ac:dyDescent="0.3">
      <c r="A268" s="52"/>
      <c r="B268" s="52"/>
      <c r="C268" s="52"/>
      <c r="D268" s="52"/>
      <c r="E268" s="107"/>
      <c r="F268" s="107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</row>
    <row r="269" spans="1:25" x14ac:dyDescent="0.3">
      <c r="A269" s="52"/>
      <c r="B269" s="52"/>
      <c r="C269" s="52"/>
      <c r="D269" s="52"/>
      <c r="E269" s="107"/>
      <c r="F269" s="107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</row>
    <row r="270" spans="1:25" x14ac:dyDescent="0.3">
      <c r="A270" s="52"/>
      <c r="B270" s="52"/>
      <c r="C270" s="52"/>
      <c r="D270" s="52"/>
      <c r="E270" s="107"/>
      <c r="F270" s="107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</row>
    <row r="271" spans="1:25" x14ac:dyDescent="0.3">
      <c r="A271" s="52"/>
      <c r="B271" s="52"/>
      <c r="C271" s="52"/>
      <c r="D271" s="52"/>
      <c r="E271" s="107"/>
      <c r="F271" s="107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</row>
    <row r="272" spans="1:25" x14ac:dyDescent="0.3">
      <c r="A272" s="52"/>
      <c r="B272" s="52"/>
      <c r="C272" s="52"/>
      <c r="D272" s="52"/>
      <c r="E272" s="107"/>
      <c r="F272" s="107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</row>
    <row r="273" spans="1:25" x14ac:dyDescent="0.3">
      <c r="A273" s="52"/>
      <c r="B273" s="52"/>
      <c r="C273" s="52"/>
      <c r="D273" s="52"/>
      <c r="E273" s="107"/>
      <c r="F273" s="107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</row>
    <row r="274" spans="1:25" x14ac:dyDescent="0.3">
      <c r="A274" s="52"/>
      <c r="B274" s="52"/>
      <c r="C274" s="52"/>
      <c r="D274" s="52"/>
      <c r="E274" s="107"/>
      <c r="F274" s="107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</row>
    <row r="275" spans="1:25" x14ac:dyDescent="0.3">
      <c r="A275" s="52"/>
      <c r="B275" s="52"/>
      <c r="C275" s="52"/>
      <c r="D275" s="52"/>
      <c r="E275" s="107"/>
      <c r="F275" s="107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</row>
    <row r="276" spans="1:25" x14ac:dyDescent="0.3">
      <c r="A276" s="52"/>
      <c r="B276" s="52"/>
      <c r="C276" s="52"/>
      <c r="D276" s="52"/>
      <c r="E276" s="107"/>
      <c r="F276" s="107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</row>
    <row r="277" spans="1:25" x14ac:dyDescent="0.3">
      <c r="A277" s="52"/>
      <c r="B277" s="52"/>
      <c r="C277" s="52"/>
      <c r="D277" s="52"/>
      <c r="E277" s="107"/>
      <c r="F277" s="107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</row>
    <row r="278" spans="1:25" x14ac:dyDescent="0.3">
      <c r="A278" s="52"/>
      <c r="B278" s="52"/>
      <c r="C278" s="52"/>
      <c r="D278" s="52"/>
      <c r="E278" s="107"/>
      <c r="F278" s="107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</row>
    <row r="279" spans="1:25" x14ac:dyDescent="0.3">
      <c r="A279" s="52"/>
      <c r="B279" s="52"/>
      <c r="C279" s="52"/>
      <c r="D279" s="52"/>
      <c r="E279" s="107"/>
      <c r="F279" s="107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</row>
    <row r="280" spans="1:25" x14ac:dyDescent="0.3">
      <c r="A280" s="52"/>
      <c r="B280" s="52"/>
      <c r="C280" s="52"/>
      <c r="D280" s="52"/>
      <c r="E280" s="107"/>
      <c r="F280" s="107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</row>
    <row r="281" spans="1:25" x14ac:dyDescent="0.3">
      <c r="A281" s="52"/>
      <c r="B281" s="52"/>
      <c r="C281" s="52"/>
      <c r="D281" s="52"/>
      <c r="E281" s="107"/>
      <c r="F281" s="107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</row>
    <row r="282" spans="1:25" x14ac:dyDescent="0.3">
      <c r="A282" s="52"/>
      <c r="B282" s="52"/>
      <c r="C282" s="52"/>
      <c r="D282" s="52"/>
      <c r="E282" s="107"/>
      <c r="F282" s="107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</row>
    <row r="283" spans="1:25" x14ac:dyDescent="0.3">
      <c r="A283" s="52"/>
      <c r="B283" s="52"/>
      <c r="C283" s="52"/>
      <c r="D283" s="52"/>
      <c r="E283" s="107"/>
      <c r="F283" s="107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</row>
    <row r="284" spans="1:25" x14ac:dyDescent="0.3">
      <c r="A284" s="52"/>
      <c r="B284" s="52"/>
      <c r="C284" s="52"/>
      <c r="D284" s="52"/>
      <c r="E284" s="107"/>
      <c r="F284" s="107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</row>
    <row r="285" spans="1:25" x14ac:dyDescent="0.3">
      <c r="A285" s="52"/>
      <c r="B285" s="52"/>
      <c r="C285" s="52"/>
      <c r="D285" s="52"/>
      <c r="E285" s="107"/>
      <c r="F285" s="107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</row>
    <row r="286" spans="1:25" x14ac:dyDescent="0.3">
      <c r="A286" s="52"/>
      <c r="B286" s="52"/>
      <c r="C286" s="52"/>
      <c r="D286" s="52"/>
      <c r="E286" s="107"/>
      <c r="F286" s="107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</row>
    <row r="287" spans="1:25" x14ac:dyDescent="0.3">
      <c r="A287" s="52"/>
      <c r="B287" s="52"/>
      <c r="C287" s="52"/>
      <c r="D287" s="52"/>
      <c r="E287" s="107"/>
      <c r="F287" s="107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</row>
    <row r="288" spans="1:25" x14ac:dyDescent="0.3">
      <c r="A288" s="52"/>
      <c r="B288" s="52"/>
      <c r="C288" s="52"/>
      <c r="D288" s="52"/>
      <c r="E288" s="107"/>
      <c r="F288" s="107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</row>
    <row r="289" spans="1:25" x14ac:dyDescent="0.3">
      <c r="A289" s="52"/>
      <c r="B289" s="52"/>
      <c r="C289" s="52"/>
      <c r="D289" s="52"/>
      <c r="E289" s="107"/>
      <c r="F289" s="107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</row>
    <row r="290" spans="1:25" x14ac:dyDescent="0.3">
      <c r="A290" s="52"/>
      <c r="B290" s="52"/>
      <c r="C290" s="52"/>
      <c r="D290" s="52"/>
      <c r="E290" s="107"/>
      <c r="F290" s="107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</row>
    <row r="291" spans="1:25" x14ac:dyDescent="0.3">
      <c r="A291" s="52"/>
      <c r="B291" s="52"/>
      <c r="C291" s="52"/>
      <c r="D291" s="52"/>
      <c r="E291" s="107"/>
      <c r="F291" s="107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</row>
    <row r="292" spans="1:25" x14ac:dyDescent="0.3">
      <c r="A292" s="52"/>
      <c r="B292" s="52"/>
      <c r="C292" s="52"/>
      <c r="D292" s="52"/>
      <c r="E292" s="107"/>
      <c r="F292" s="107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</row>
    <row r="293" spans="1:25" x14ac:dyDescent="0.3">
      <c r="A293" s="52"/>
      <c r="B293" s="52"/>
      <c r="C293" s="52"/>
      <c r="D293" s="52"/>
      <c r="E293" s="107"/>
      <c r="F293" s="107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</row>
    <row r="294" spans="1:25" x14ac:dyDescent="0.3">
      <c r="A294" s="52"/>
      <c r="B294" s="52"/>
      <c r="C294" s="52"/>
      <c r="D294" s="52"/>
      <c r="E294" s="107"/>
      <c r="F294" s="107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</row>
    <row r="295" spans="1:25" x14ac:dyDescent="0.3">
      <c r="A295" s="52"/>
      <c r="B295" s="52"/>
      <c r="C295" s="52"/>
      <c r="D295" s="52"/>
      <c r="E295" s="107"/>
      <c r="F295" s="107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</row>
    <row r="296" spans="1:25" x14ac:dyDescent="0.3">
      <c r="A296" s="52"/>
      <c r="B296" s="52"/>
      <c r="C296" s="52"/>
      <c r="D296" s="52"/>
      <c r="E296" s="107"/>
      <c r="F296" s="107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</row>
    <row r="297" spans="1:25" x14ac:dyDescent="0.3">
      <c r="A297" s="52"/>
      <c r="B297" s="52"/>
      <c r="C297" s="52"/>
      <c r="D297" s="52"/>
      <c r="E297" s="107"/>
      <c r="F297" s="107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</row>
    <row r="298" spans="1:25" x14ac:dyDescent="0.3">
      <c r="A298" s="52"/>
      <c r="B298" s="52"/>
      <c r="C298" s="52"/>
      <c r="D298" s="52"/>
      <c r="E298" s="107"/>
      <c r="F298" s="107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</row>
    <row r="299" spans="1:25" x14ac:dyDescent="0.3">
      <c r="A299" s="52"/>
      <c r="B299" s="52"/>
      <c r="C299" s="52"/>
      <c r="D299" s="52"/>
      <c r="E299" s="107"/>
      <c r="F299" s="107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</row>
    <row r="300" spans="1:25" x14ac:dyDescent="0.3">
      <c r="A300" s="52"/>
      <c r="B300" s="52"/>
      <c r="C300" s="52"/>
      <c r="D300" s="52"/>
      <c r="E300" s="107"/>
      <c r="F300" s="107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</row>
    <row r="301" spans="1:25" x14ac:dyDescent="0.3">
      <c r="A301" s="52"/>
      <c r="B301" s="52"/>
      <c r="C301" s="52"/>
      <c r="D301" s="52"/>
      <c r="E301" s="107"/>
      <c r="F301" s="107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</row>
    <row r="302" spans="1:25" x14ac:dyDescent="0.3">
      <c r="A302" s="52"/>
      <c r="B302" s="52"/>
      <c r="C302" s="52"/>
      <c r="D302" s="52"/>
      <c r="E302" s="107"/>
      <c r="F302" s="107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</row>
    <row r="303" spans="1:25" x14ac:dyDescent="0.3">
      <c r="A303" s="52"/>
      <c r="B303" s="52"/>
      <c r="C303" s="52"/>
      <c r="D303" s="52"/>
      <c r="E303" s="107"/>
      <c r="F303" s="107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</row>
    <row r="304" spans="1:25" x14ac:dyDescent="0.3">
      <c r="A304" s="52"/>
      <c r="B304" s="52"/>
      <c r="C304" s="52"/>
      <c r="D304" s="52"/>
      <c r="E304" s="107"/>
      <c r="F304" s="107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</row>
    <row r="305" spans="1:25" x14ac:dyDescent="0.3">
      <c r="A305" s="52"/>
      <c r="B305" s="52"/>
      <c r="C305" s="52"/>
      <c r="D305" s="52"/>
      <c r="E305" s="107"/>
      <c r="F305" s="107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</row>
    <row r="306" spans="1:25" x14ac:dyDescent="0.3">
      <c r="A306" s="52"/>
      <c r="B306" s="52"/>
      <c r="C306" s="52"/>
      <c r="D306" s="52"/>
      <c r="E306" s="107"/>
      <c r="F306" s="107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</row>
    <row r="307" spans="1:25" x14ac:dyDescent="0.3">
      <c r="A307" s="52"/>
      <c r="B307" s="52"/>
      <c r="C307" s="52"/>
      <c r="D307" s="52"/>
      <c r="E307" s="107"/>
      <c r="F307" s="107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</row>
    <row r="308" spans="1:25" x14ac:dyDescent="0.3">
      <c r="A308" s="52"/>
      <c r="B308" s="52"/>
      <c r="C308" s="52"/>
      <c r="D308" s="52"/>
      <c r="E308" s="107"/>
      <c r="F308" s="107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</row>
    <row r="309" spans="1:25" x14ac:dyDescent="0.3">
      <c r="A309" s="52"/>
      <c r="B309" s="52"/>
      <c r="C309" s="52"/>
      <c r="D309" s="52"/>
      <c r="E309" s="107"/>
      <c r="F309" s="107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</row>
    <row r="310" spans="1:25" x14ac:dyDescent="0.3">
      <c r="A310" s="52"/>
      <c r="B310" s="52"/>
      <c r="C310" s="52"/>
      <c r="D310" s="52"/>
      <c r="E310" s="107"/>
      <c r="F310" s="107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</row>
    <row r="311" spans="1:25" x14ac:dyDescent="0.3">
      <c r="A311" s="52"/>
      <c r="B311" s="52"/>
      <c r="C311" s="52"/>
      <c r="D311" s="52"/>
      <c r="E311" s="107"/>
      <c r="F311" s="107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</row>
    <row r="312" spans="1:25" x14ac:dyDescent="0.3">
      <c r="A312" s="52"/>
      <c r="B312" s="52"/>
      <c r="C312" s="52"/>
      <c r="D312" s="52"/>
      <c r="E312" s="107"/>
      <c r="F312" s="107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</row>
    <row r="313" spans="1:25" x14ac:dyDescent="0.3">
      <c r="A313" s="52"/>
      <c r="B313" s="52"/>
      <c r="C313" s="52"/>
      <c r="D313" s="52"/>
      <c r="E313" s="107"/>
      <c r="F313" s="107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</row>
    <row r="314" spans="1:25" x14ac:dyDescent="0.3">
      <c r="A314" s="52"/>
      <c r="B314" s="52"/>
      <c r="C314" s="52"/>
      <c r="D314" s="52"/>
      <c r="E314" s="107"/>
      <c r="F314" s="107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</row>
    <row r="315" spans="1:25" x14ac:dyDescent="0.3">
      <c r="A315" s="52"/>
      <c r="B315" s="52"/>
      <c r="C315" s="52"/>
      <c r="D315" s="52"/>
      <c r="E315" s="107"/>
      <c r="F315" s="107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</row>
    <row r="316" spans="1:25" x14ac:dyDescent="0.3">
      <c r="A316" s="52"/>
      <c r="B316" s="52"/>
      <c r="C316" s="52"/>
      <c r="D316" s="52"/>
      <c r="E316" s="107"/>
      <c r="F316" s="107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</row>
    <row r="317" spans="1:25" x14ac:dyDescent="0.3">
      <c r="A317" s="52"/>
      <c r="B317" s="52"/>
      <c r="C317" s="52"/>
      <c r="D317" s="52"/>
      <c r="E317" s="107"/>
      <c r="F317" s="107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</row>
    <row r="318" spans="1:25" x14ac:dyDescent="0.3">
      <c r="A318" s="52"/>
      <c r="B318" s="52"/>
      <c r="C318" s="52"/>
      <c r="D318" s="52"/>
      <c r="E318" s="107"/>
      <c r="F318" s="107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</row>
    <row r="319" spans="1:25" x14ac:dyDescent="0.3">
      <c r="A319" s="52"/>
      <c r="B319" s="52"/>
      <c r="C319" s="52"/>
      <c r="D319" s="52"/>
      <c r="E319" s="107"/>
      <c r="F319" s="107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</row>
    <row r="320" spans="1:25" x14ac:dyDescent="0.3">
      <c r="A320" s="52"/>
      <c r="B320" s="52"/>
      <c r="C320" s="52"/>
      <c r="D320" s="52"/>
      <c r="E320" s="107"/>
      <c r="F320" s="107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</row>
    <row r="321" spans="1:25" x14ac:dyDescent="0.3">
      <c r="A321" s="52"/>
      <c r="B321" s="52"/>
      <c r="C321" s="52"/>
      <c r="D321" s="52"/>
      <c r="E321" s="107"/>
      <c r="F321" s="107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</row>
    <row r="322" spans="1:25" x14ac:dyDescent="0.3">
      <c r="A322" s="52"/>
      <c r="B322" s="52"/>
      <c r="C322" s="52"/>
      <c r="D322" s="52"/>
      <c r="E322" s="107"/>
      <c r="F322" s="107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</row>
    <row r="323" spans="1:25" x14ac:dyDescent="0.3">
      <c r="A323" s="52"/>
      <c r="B323" s="52"/>
      <c r="C323" s="52"/>
      <c r="D323" s="52"/>
      <c r="E323" s="107"/>
      <c r="F323" s="107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</row>
    <row r="324" spans="1:25" x14ac:dyDescent="0.3">
      <c r="A324" s="52"/>
      <c r="B324" s="52"/>
      <c r="C324" s="52"/>
      <c r="D324" s="52"/>
      <c r="E324" s="107"/>
      <c r="F324" s="107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</row>
    <row r="325" spans="1:25" x14ac:dyDescent="0.3">
      <c r="A325" s="52"/>
      <c r="B325" s="52"/>
      <c r="C325" s="52"/>
      <c r="D325" s="52"/>
      <c r="E325" s="107"/>
      <c r="F325" s="107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</row>
    <row r="326" spans="1:25" x14ac:dyDescent="0.3">
      <c r="A326" s="52"/>
      <c r="B326" s="52"/>
      <c r="C326" s="52"/>
      <c r="D326" s="52"/>
      <c r="E326" s="107"/>
      <c r="F326" s="107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</row>
    <row r="327" spans="1:25" x14ac:dyDescent="0.3">
      <c r="A327" s="52"/>
      <c r="B327" s="52"/>
      <c r="C327" s="52"/>
      <c r="D327" s="52"/>
      <c r="E327" s="107"/>
      <c r="F327" s="107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</row>
    <row r="328" spans="1:25" x14ac:dyDescent="0.3">
      <c r="A328" s="52"/>
      <c r="B328" s="52"/>
      <c r="C328" s="52"/>
      <c r="D328" s="52"/>
      <c r="E328" s="107"/>
      <c r="F328" s="107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</row>
    <row r="329" spans="1:25" x14ac:dyDescent="0.3">
      <c r="A329" s="52"/>
      <c r="B329" s="52"/>
      <c r="C329" s="52"/>
      <c r="D329" s="52"/>
      <c r="E329" s="107"/>
      <c r="F329" s="107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</row>
    <row r="330" spans="1:25" x14ac:dyDescent="0.3">
      <c r="A330" s="52"/>
      <c r="B330" s="52"/>
      <c r="C330" s="52"/>
      <c r="D330" s="52"/>
      <c r="E330" s="107"/>
      <c r="F330" s="107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</row>
    <row r="331" spans="1:25" x14ac:dyDescent="0.3">
      <c r="A331" s="52"/>
      <c r="B331" s="52"/>
      <c r="C331" s="52"/>
      <c r="D331" s="52"/>
      <c r="E331" s="107"/>
      <c r="F331" s="107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</row>
    <row r="332" spans="1:25" x14ac:dyDescent="0.3">
      <c r="A332" s="52"/>
      <c r="B332" s="52"/>
      <c r="C332" s="52"/>
      <c r="D332" s="52"/>
      <c r="E332" s="107"/>
      <c r="F332" s="107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</row>
    <row r="333" spans="1:25" x14ac:dyDescent="0.3">
      <c r="A333" s="52"/>
      <c r="B333" s="52"/>
      <c r="C333" s="52"/>
      <c r="D333" s="52"/>
      <c r="E333" s="107"/>
      <c r="F333" s="107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</row>
    <row r="334" spans="1:25" x14ac:dyDescent="0.3">
      <c r="A334" s="52"/>
      <c r="B334" s="52"/>
      <c r="C334" s="52"/>
      <c r="D334" s="52"/>
      <c r="E334" s="107"/>
      <c r="F334" s="107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</row>
    <row r="335" spans="1:25" x14ac:dyDescent="0.3">
      <c r="A335" s="52"/>
      <c r="B335" s="52"/>
      <c r="C335" s="52"/>
      <c r="D335" s="52"/>
      <c r="E335" s="107"/>
      <c r="F335" s="107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</row>
    <row r="336" spans="1:25" x14ac:dyDescent="0.3">
      <c r="A336" s="52"/>
      <c r="B336" s="52"/>
      <c r="C336" s="52"/>
      <c r="D336" s="52"/>
      <c r="E336" s="107"/>
      <c r="F336" s="107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</row>
    <row r="337" spans="1:25" x14ac:dyDescent="0.3">
      <c r="A337" s="52"/>
      <c r="B337" s="52"/>
      <c r="C337" s="52"/>
      <c r="D337" s="52"/>
      <c r="E337" s="107"/>
      <c r="F337" s="107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</row>
    <row r="338" spans="1:25" x14ac:dyDescent="0.3">
      <c r="A338" s="52"/>
      <c r="B338" s="52"/>
      <c r="C338" s="52"/>
      <c r="D338" s="52"/>
      <c r="E338" s="107"/>
      <c r="F338" s="107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</row>
    <row r="339" spans="1:25" x14ac:dyDescent="0.3">
      <c r="A339" s="52"/>
      <c r="B339" s="52"/>
      <c r="C339" s="52"/>
      <c r="D339" s="52"/>
      <c r="E339" s="107"/>
      <c r="F339" s="107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</row>
    <row r="340" spans="1:25" x14ac:dyDescent="0.3">
      <c r="A340" s="52"/>
      <c r="B340" s="52"/>
      <c r="C340" s="52"/>
      <c r="D340" s="52"/>
      <c r="E340" s="107"/>
      <c r="F340" s="107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</row>
    <row r="341" spans="1:25" x14ac:dyDescent="0.3">
      <c r="A341" s="52"/>
      <c r="B341" s="52"/>
      <c r="C341" s="52"/>
      <c r="D341" s="52"/>
      <c r="E341" s="107"/>
      <c r="F341" s="107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</row>
    <row r="342" spans="1:25" x14ac:dyDescent="0.3">
      <c r="A342" s="52"/>
      <c r="B342" s="52"/>
      <c r="C342" s="52"/>
      <c r="D342" s="52"/>
      <c r="E342" s="107"/>
      <c r="F342" s="107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</row>
    <row r="343" spans="1:25" x14ac:dyDescent="0.3">
      <c r="A343" s="52"/>
      <c r="B343" s="52"/>
      <c r="C343" s="52"/>
      <c r="D343" s="52"/>
      <c r="E343" s="107"/>
      <c r="F343" s="107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</row>
    <row r="344" spans="1:25" x14ac:dyDescent="0.3">
      <c r="A344" s="52"/>
      <c r="B344" s="52"/>
      <c r="C344" s="52"/>
      <c r="D344" s="52"/>
      <c r="E344" s="107"/>
      <c r="F344" s="107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</row>
    <row r="345" spans="1:25" x14ac:dyDescent="0.3">
      <c r="A345" s="52"/>
      <c r="B345" s="52"/>
      <c r="C345" s="52"/>
      <c r="D345" s="52"/>
      <c r="E345" s="107"/>
      <c r="F345" s="107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</row>
    <row r="346" spans="1:25" x14ac:dyDescent="0.3">
      <c r="A346" s="52"/>
      <c r="B346" s="52"/>
      <c r="C346" s="52"/>
      <c r="D346" s="52"/>
      <c r="E346" s="107"/>
      <c r="F346" s="107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</row>
    <row r="347" spans="1:25" x14ac:dyDescent="0.3">
      <c r="A347" s="52"/>
      <c r="B347" s="52"/>
      <c r="C347" s="52"/>
      <c r="D347" s="52"/>
      <c r="E347" s="107"/>
      <c r="F347" s="107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</row>
    <row r="348" spans="1:25" x14ac:dyDescent="0.3">
      <c r="A348" s="52"/>
      <c r="B348" s="52"/>
      <c r="C348" s="52"/>
      <c r="D348" s="52"/>
      <c r="E348" s="107"/>
      <c r="F348" s="107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</row>
    <row r="349" spans="1:25" x14ac:dyDescent="0.3">
      <c r="A349" s="52"/>
      <c r="B349" s="52"/>
      <c r="C349" s="52"/>
      <c r="D349" s="52"/>
      <c r="E349" s="107"/>
      <c r="F349" s="107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</row>
    <row r="350" spans="1:25" x14ac:dyDescent="0.3">
      <c r="A350" s="52"/>
      <c r="B350" s="52"/>
      <c r="C350" s="52"/>
      <c r="D350" s="52"/>
      <c r="E350" s="107"/>
      <c r="F350" s="107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</row>
    <row r="351" spans="1:25" x14ac:dyDescent="0.3">
      <c r="A351" s="52"/>
      <c r="B351" s="52"/>
      <c r="C351" s="52"/>
      <c r="D351" s="52"/>
      <c r="E351" s="107"/>
      <c r="F351" s="107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</row>
    <row r="352" spans="1:25" x14ac:dyDescent="0.3">
      <c r="A352" s="52"/>
      <c r="B352" s="52"/>
      <c r="C352" s="52"/>
      <c r="D352" s="52"/>
      <c r="E352" s="107"/>
      <c r="F352" s="107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</row>
    <row r="353" spans="1:25" x14ac:dyDescent="0.3">
      <c r="A353" s="52"/>
      <c r="B353" s="52"/>
      <c r="C353" s="52"/>
      <c r="D353" s="52"/>
      <c r="E353" s="107"/>
      <c r="F353" s="107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</row>
    <row r="354" spans="1:25" x14ac:dyDescent="0.3">
      <c r="A354" s="52"/>
      <c r="B354" s="52"/>
      <c r="C354" s="52"/>
      <c r="D354" s="52"/>
      <c r="E354" s="107"/>
      <c r="F354" s="107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</row>
    <row r="355" spans="1:25" x14ac:dyDescent="0.3">
      <c r="A355" s="52"/>
      <c r="B355" s="52"/>
      <c r="C355" s="52"/>
      <c r="D355" s="52"/>
      <c r="E355" s="107"/>
      <c r="F355" s="107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</row>
    <row r="356" spans="1:25" x14ac:dyDescent="0.3">
      <c r="A356" s="52"/>
      <c r="B356" s="52"/>
      <c r="C356" s="52"/>
      <c r="D356" s="52"/>
      <c r="E356" s="107"/>
      <c r="F356" s="107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</row>
    <row r="357" spans="1:25" x14ac:dyDescent="0.3">
      <c r="A357" s="52"/>
      <c r="B357" s="52"/>
      <c r="C357" s="52"/>
      <c r="D357" s="52"/>
      <c r="E357" s="107"/>
      <c r="F357" s="107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</row>
    <row r="358" spans="1:25" x14ac:dyDescent="0.3">
      <c r="A358" s="52"/>
      <c r="B358" s="52"/>
      <c r="C358" s="52"/>
      <c r="D358" s="52"/>
      <c r="E358" s="107"/>
      <c r="F358" s="107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</row>
    <row r="359" spans="1:25" x14ac:dyDescent="0.3">
      <c r="A359" s="52"/>
      <c r="B359" s="52"/>
      <c r="C359" s="52"/>
      <c r="D359" s="52"/>
      <c r="E359" s="107"/>
      <c r="F359" s="107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</row>
    <row r="360" spans="1:25" x14ac:dyDescent="0.3">
      <c r="A360" s="52"/>
      <c r="B360" s="52"/>
      <c r="C360" s="52"/>
      <c r="D360" s="52"/>
      <c r="E360" s="107"/>
      <c r="F360" s="107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</row>
    <row r="361" spans="1:25" x14ac:dyDescent="0.3">
      <c r="A361" s="52"/>
      <c r="B361" s="52"/>
      <c r="C361" s="52"/>
      <c r="D361" s="52"/>
      <c r="E361" s="107"/>
      <c r="F361" s="107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</row>
    <row r="362" spans="1:25" x14ac:dyDescent="0.3">
      <c r="A362" s="52"/>
      <c r="B362" s="52"/>
      <c r="C362" s="52"/>
      <c r="D362" s="52"/>
      <c r="E362" s="107"/>
      <c r="F362" s="107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</row>
    <row r="363" spans="1:25" x14ac:dyDescent="0.3">
      <c r="A363" s="52"/>
      <c r="B363" s="52"/>
      <c r="C363" s="52"/>
      <c r="D363" s="52"/>
      <c r="E363" s="107"/>
      <c r="F363" s="107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</row>
    <row r="364" spans="1:25" x14ac:dyDescent="0.3">
      <c r="A364" s="52"/>
      <c r="B364" s="52"/>
      <c r="C364" s="52"/>
      <c r="D364" s="52"/>
      <c r="E364" s="107"/>
      <c r="F364" s="107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</row>
    <row r="365" spans="1:25" x14ac:dyDescent="0.3">
      <c r="A365" s="52"/>
      <c r="B365" s="52"/>
      <c r="C365" s="52"/>
      <c r="D365" s="52"/>
      <c r="E365" s="107"/>
      <c r="F365" s="107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</row>
    <row r="366" spans="1:25" x14ac:dyDescent="0.3">
      <c r="A366" s="52"/>
      <c r="B366" s="52"/>
      <c r="C366" s="52"/>
      <c r="D366" s="52"/>
      <c r="E366" s="107"/>
      <c r="F366" s="107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</row>
    <row r="367" spans="1:25" x14ac:dyDescent="0.3">
      <c r="A367" s="52"/>
      <c r="B367" s="52"/>
      <c r="C367" s="52"/>
      <c r="D367" s="52"/>
      <c r="E367" s="107"/>
      <c r="F367" s="107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</row>
    <row r="368" spans="1:25" x14ac:dyDescent="0.3">
      <c r="A368" s="52"/>
      <c r="B368" s="52"/>
      <c r="C368" s="52"/>
      <c r="D368" s="52"/>
      <c r="E368" s="107"/>
      <c r="F368" s="107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</row>
    <row r="369" spans="1:25" x14ac:dyDescent="0.3">
      <c r="A369" s="52"/>
      <c r="B369" s="52"/>
      <c r="C369" s="52"/>
      <c r="D369" s="52"/>
      <c r="E369" s="107"/>
      <c r="F369" s="107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</row>
    <row r="370" spans="1:25" x14ac:dyDescent="0.3">
      <c r="A370" s="52"/>
      <c r="B370" s="52"/>
      <c r="C370" s="52"/>
      <c r="D370" s="52"/>
      <c r="E370" s="107"/>
      <c r="F370" s="107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</row>
    <row r="371" spans="1:25" x14ac:dyDescent="0.3">
      <c r="A371" s="52"/>
      <c r="B371" s="52"/>
      <c r="C371" s="52"/>
      <c r="D371" s="52"/>
      <c r="E371" s="107"/>
      <c r="F371" s="107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</row>
    <row r="372" spans="1:25" x14ac:dyDescent="0.3">
      <c r="A372" s="52"/>
      <c r="B372" s="52"/>
      <c r="C372" s="52"/>
      <c r="D372" s="52"/>
      <c r="E372" s="107"/>
      <c r="F372" s="107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</row>
    <row r="373" spans="1:25" x14ac:dyDescent="0.3">
      <c r="A373" s="52"/>
      <c r="B373" s="52"/>
      <c r="C373" s="52"/>
      <c r="D373" s="52"/>
      <c r="E373" s="107"/>
      <c r="F373" s="107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</row>
    <row r="374" spans="1:25" x14ac:dyDescent="0.3">
      <c r="A374" s="52"/>
      <c r="B374" s="52"/>
      <c r="C374" s="52"/>
      <c r="D374" s="52"/>
      <c r="E374" s="107"/>
      <c r="F374" s="107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</row>
    <row r="375" spans="1:25" x14ac:dyDescent="0.3">
      <c r="A375" s="52"/>
      <c r="B375" s="52"/>
      <c r="C375" s="52"/>
      <c r="D375" s="52"/>
      <c r="E375" s="107"/>
      <c r="F375" s="107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</row>
    <row r="376" spans="1:25" x14ac:dyDescent="0.3">
      <c r="A376" s="52"/>
      <c r="B376" s="52"/>
      <c r="C376" s="52"/>
      <c r="D376" s="52"/>
      <c r="E376" s="107"/>
      <c r="F376" s="107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</row>
    <row r="377" spans="1:25" x14ac:dyDescent="0.3">
      <c r="A377" s="52"/>
      <c r="B377" s="52"/>
      <c r="C377" s="52"/>
      <c r="D377" s="52"/>
      <c r="E377" s="107"/>
      <c r="F377" s="107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</row>
    <row r="378" spans="1:25" x14ac:dyDescent="0.3">
      <c r="A378" s="52"/>
      <c r="B378" s="52"/>
      <c r="C378" s="52"/>
      <c r="D378" s="52"/>
      <c r="E378" s="107"/>
      <c r="F378" s="107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</row>
    <row r="379" spans="1:25" x14ac:dyDescent="0.3">
      <c r="A379" s="52"/>
      <c r="B379" s="52"/>
      <c r="C379" s="52"/>
      <c r="D379" s="52"/>
      <c r="E379" s="107"/>
      <c r="F379" s="107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</row>
    <row r="380" spans="1:25" x14ac:dyDescent="0.3">
      <c r="A380" s="52"/>
      <c r="B380" s="52"/>
      <c r="C380" s="52"/>
      <c r="D380" s="52"/>
      <c r="E380" s="107"/>
      <c r="F380" s="107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</row>
    <row r="381" spans="1:25" x14ac:dyDescent="0.3">
      <c r="A381" s="52"/>
      <c r="B381" s="52"/>
      <c r="C381" s="52"/>
      <c r="D381" s="52"/>
      <c r="E381" s="107"/>
      <c r="F381" s="107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</row>
    <row r="382" spans="1:25" x14ac:dyDescent="0.3">
      <c r="A382" s="52"/>
      <c r="B382" s="52"/>
      <c r="C382" s="52"/>
      <c r="D382" s="52"/>
      <c r="E382" s="107"/>
      <c r="F382" s="107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</row>
    <row r="383" spans="1:25" x14ac:dyDescent="0.3">
      <c r="A383" s="52"/>
      <c r="B383" s="52"/>
      <c r="C383" s="52"/>
      <c r="D383" s="52"/>
      <c r="E383" s="107"/>
      <c r="F383" s="107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</row>
    <row r="384" spans="1:25" x14ac:dyDescent="0.3">
      <c r="A384" s="52"/>
      <c r="B384" s="52"/>
      <c r="C384" s="52"/>
      <c r="D384" s="52"/>
      <c r="E384" s="107"/>
      <c r="F384" s="107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</row>
    <row r="385" spans="1:25" x14ac:dyDescent="0.3">
      <c r="A385" s="52"/>
      <c r="B385" s="52"/>
      <c r="C385" s="52"/>
      <c r="D385" s="52"/>
      <c r="E385" s="107"/>
      <c r="F385" s="107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</row>
    <row r="386" spans="1:25" x14ac:dyDescent="0.3">
      <c r="A386" s="52"/>
      <c r="B386" s="52"/>
      <c r="C386" s="52"/>
      <c r="D386" s="52"/>
      <c r="E386" s="107"/>
      <c r="F386" s="107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</row>
    <row r="387" spans="1:25" x14ac:dyDescent="0.3">
      <c r="A387" s="52"/>
      <c r="B387" s="52"/>
      <c r="C387" s="52"/>
      <c r="D387" s="52"/>
      <c r="E387" s="107"/>
      <c r="F387" s="107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</row>
    <row r="388" spans="1:25" x14ac:dyDescent="0.3">
      <c r="A388" s="52"/>
      <c r="B388" s="52"/>
      <c r="C388" s="52"/>
      <c r="D388" s="52"/>
      <c r="E388" s="107"/>
      <c r="F388" s="107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</row>
    <row r="389" spans="1:25" x14ac:dyDescent="0.3">
      <c r="A389" s="52"/>
      <c r="B389" s="52"/>
      <c r="C389" s="52"/>
      <c r="D389" s="52"/>
      <c r="E389" s="107"/>
      <c r="F389" s="107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</row>
    <row r="390" spans="1:25" x14ac:dyDescent="0.3">
      <c r="A390" s="52"/>
      <c r="B390" s="52"/>
      <c r="C390" s="52"/>
      <c r="D390" s="52"/>
      <c r="E390" s="107"/>
      <c r="F390" s="107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</row>
    <row r="391" spans="1:25" x14ac:dyDescent="0.3">
      <c r="A391" s="52"/>
      <c r="B391" s="52"/>
      <c r="C391" s="52"/>
      <c r="D391" s="52"/>
      <c r="E391" s="107"/>
      <c r="F391" s="107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</row>
    <row r="392" spans="1:25" x14ac:dyDescent="0.3">
      <c r="A392" s="52"/>
      <c r="B392" s="52"/>
      <c r="C392" s="52"/>
      <c r="D392" s="52"/>
      <c r="E392" s="107"/>
      <c r="F392" s="107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</row>
    <row r="393" spans="1:25" x14ac:dyDescent="0.3">
      <c r="A393" s="52"/>
      <c r="B393" s="52"/>
      <c r="C393" s="52"/>
      <c r="D393" s="52"/>
      <c r="E393" s="107"/>
      <c r="F393" s="107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</row>
    <row r="394" spans="1:25" x14ac:dyDescent="0.3">
      <c r="A394" s="52"/>
      <c r="B394" s="52"/>
      <c r="C394" s="52"/>
      <c r="D394" s="52"/>
      <c r="E394" s="107"/>
      <c r="F394" s="107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</row>
    <row r="395" spans="1:25" x14ac:dyDescent="0.3">
      <c r="A395" s="52"/>
      <c r="B395" s="52"/>
      <c r="C395" s="52"/>
      <c r="D395" s="52"/>
      <c r="E395" s="107"/>
      <c r="F395" s="107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</row>
    <row r="396" spans="1:25" x14ac:dyDescent="0.3">
      <c r="A396" s="52"/>
      <c r="B396" s="52"/>
      <c r="C396" s="52"/>
      <c r="D396" s="52"/>
      <c r="E396" s="107"/>
      <c r="F396" s="107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</row>
    <row r="397" spans="1:25" x14ac:dyDescent="0.3">
      <c r="A397" s="52"/>
      <c r="B397" s="52"/>
      <c r="C397" s="52"/>
      <c r="D397" s="52"/>
      <c r="E397" s="107"/>
      <c r="F397" s="107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</row>
    <row r="398" spans="1:25" x14ac:dyDescent="0.3">
      <c r="A398" s="52"/>
      <c r="B398" s="52"/>
      <c r="C398" s="52"/>
      <c r="D398" s="52"/>
      <c r="E398" s="107"/>
      <c r="F398" s="107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</row>
    <row r="399" spans="1:25" x14ac:dyDescent="0.3">
      <c r="A399" s="52"/>
      <c r="B399" s="52"/>
      <c r="C399" s="52"/>
      <c r="D399" s="52"/>
      <c r="E399" s="107"/>
      <c r="F399" s="107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</row>
    <row r="400" spans="1:25" x14ac:dyDescent="0.3">
      <c r="A400" s="52"/>
      <c r="B400" s="52"/>
      <c r="C400" s="52"/>
      <c r="D400" s="52"/>
      <c r="E400" s="107"/>
      <c r="F400" s="107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</row>
    <row r="401" spans="1:25" x14ac:dyDescent="0.3">
      <c r="A401" s="52"/>
      <c r="B401" s="52"/>
      <c r="C401" s="52"/>
      <c r="D401" s="52"/>
      <c r="E401" s="107"/>
      <c r="F401" s="107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</row>
    <row r="402" spans="1:25" x14ac:dyDescent="0.3">
      <c r="A402" s="52"/>
      <c r="B402" s="52"/>
      <c r="C402" s="52"/>
      <c r="D402" s="52"/>
      <c r="E402" s="107"/>
      <c r="F402" s="107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</row>
    <row r="403" spans="1:25" x14ac:dyDescent="0.3">
      <c r="A403" s="52"/>
      <c r="B403" s="52"/>
      <c r="C403" s="52"/>
      <c r="D403" s="52"/>
      <c r="E403" s="107"/>
      <c r="F403" s="107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</row>
    <row r="404" spans="1:25" x14ac:dyDescent="0.3">
      <c r="A404" s="52"/>
      <c r="B404" s="52"/>
      <c r="C404" s="52"/>
      <c r="D404" s="52"/>
      <c r="E404" s="107"/>
      <c r="F404" s="107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</row>
    <row r="405" spans="1:25" x14ac:dyDescent="0.3">
      <c r="A405" s="52"/>
      <c r="B405" s="52"/>
      <c r="C405" s="52"/>
      <c r="D405" s="52"/>
      <c r="E405" s="107"/>
      <c r="F405" s="107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</row>
    <row r="406" spans="1:25" x14ac:dyDescent="0.3">
      <c r="A406" s="52"/>
      <c r="B406" s="52"/>
      <c r="C406" s="52"/>
      <c r="D406" s="52"/>
      <c r="E406" s="107"/>
      <c r="F406" s="107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</row>
    <row r="407" spans="1:25" x14ac:dyDescent="0.3">
      <c r="A407" s="52"/>
      <c r="B407" s="52"/>
      <c r="C407" s="52"/>
      <c r="D407" s="52"/>
      <c r="E407" s="107"/>
      <c r="F407" s="107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</row>
    <row r="408" spans="1:25" x14ac:dyDescent="0.3">
      <c r="A408" s="52"/>
      <c r="B408" s="52"/>
      <c r="C408" s="52"/>
      <c r="D408" s="52"/>
      <c r="E408" s="107"/>
      <c r="F408" s="107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</row>
    <row r="409" spans="1:25" x14ac:dyDescent="0.3">
      <c r="A409" s="52"/>
      <c r="B409" s="52"/>
      <c r="C409" s="52"/>
      <c r="D409" s="52"/>
      <c r="E409" s="107"/>
      <c r="F409" s="107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</row>
    <row r="410" spans="1:25" x14ac:dyDescent="0.3">
      <c r="A410" s="52"/>
      <c r="B410" s="52"/>
      <c r="C410" s="52"/>
      <c r="D410" s="52"/>
      <c r="E410" s="107"/>
      <c r="F410" s="107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</row>
    <row r="411" spans="1:25" x14ac:dyDescent="0.3">
      <c r="A411" s="52"/>
      <c r="B411" s="52"/>
      <c r="C411" s="52"/>
      <c r="D411" s="52"/>
      <c r="E411" s="107"/>
      <c r="F411" s="107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</row>
    <row r="412" spans="1:25" x14ac:dyDescent="0.3">
      <c r="A412" s="52"/>
      <c r="B412" s="52"/>
      <c r="C412" s="52"/>
      <c r="D412" s="52"/>
      <c r="E412" s="107"/>
      <c r="F412" s="107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</row>
    <row r="413" spans="1:25" x14ac:dyDescent="0.3">
      <c r="A413" s="52"/>
      <c r="B413" s="52"/>
      <c r="C413" s="52"/>
      <c r="D413" s="52"/>
      <c r="E413" s="107"/>
      <c r="F413" s="107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</row>
    <row r="414" spans="1:25" x14ac:dyDescent="0.3">
      <c r="A414" s="52"/>
      <c r="B414" s="52"/>
      <c r="C414" s="52"/>
      <c r="D414" s="52"/>
      <c r="E414" s="107"/>
      <c r="F414" s="107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</row>
    <row r="415" spans="1:25" x14ac:dyDescent="0.3">
      <c r="A415" s="52"/>
      <c r="B415" s="52"/>
      <c r="C415" s="52"/>
      <c r="D415" s="52"/>
      <c r="E415" s="107"/>
      <c r="F415" s="107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</row>
    <row r="416" spans="1:25" x14ac:dyDescent="0.3">
      <c r="A416" s="52"/>
      <c r="B416" s="52"/>
      <c r="C416" s="52"/>
      <c r="D416" s="52"/>
      <c r="E416" s="107"/>
      <c r="F416" s="107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</row>
    <row r="417" spans="1:25" x14ac:dyDescent="0.3">
      <c r="A417" s="52"/>
      <c r="B417" s="52"/>
      <c r="C417" s="52"/>
      <c r="D417" s="52"/>
      <c r="E417" s="107"/>
      <c r="F417" s="107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</row>
    <row r="418" spans="1:25" x14ac:dyDescent="0.3">
      <c r="A418" s="52"/>
      <c r="B418" s="52"/>
      <c r="C418" s="52"/>
      <c r="D418" s="52"/>
      <c r="E418" s="107"/>
      <c r="F418" s="107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</row>
    <row r="419" spans="1:25" x14ac:dyDescent="0.3">
      <c r="A419" s="52"/>
      <c r="B419" s="52"/>
      <c r="C419" s="52"/>
      <c r="D419" s="52"/>
      <c r="E419" s="107"/>
      <c r="F419" s="107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</row>
    <row r="420" spans="1:25" x14ac:dyDescent="0.3">
      <c r="A420" s="52"/>
      <c r="B420" s="52"/>
      <c r="C420" s="52"/>
      <c r="D420" s="52"/>
      <c r="E420" s="107"/>
      <c r="F420" s="107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</row>
    <row r="421" spans="1:25" x14ac:dyDescent="0.3">
      <c r="A421" s="52"/>
      <c r="B421" s="52"/>
      <c r="C421" s="52"/>
      <c r="D421" s="52"/>
      <c r="E421" s="107"/>
      <c r="F421" s="107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</row>
    <row r="422" spans="1:25" x14ac:dyDescent="0.3">
      <c r="A422" s="52"/>
      <c r="B422" s="52"/>
      <c r="C422" s="52"/>
      <c r="D422" s="52"/>
      <c r="E422" s="107"/>
      <c r="F422" s="107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</row>
    <row r="423" spans="1:25" x14ac:dyDescent="0.3">
      <c r="A423" s="52"/>
      <c r="B423" s="52"/>
      <c r="C423" s="52"/>
      <c r="D423" s="52"/>
      <c r="E423" s="107"/>
      <c r="F423" s="107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</row>
    <row r="424" spans="1:25" x14ac:dyDescent="0.3">
      <c r="A424" s="52"/>
      <c r="B424" s="52"/>
      <c r="C424" s="52"/>
      <c r="D424" s="52"/>
      <c r="E424" s="107"/>
      <c r="F424" s="107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</row>
    <row r="425" spans="1:25" x14ac:dyDescent="0.3">
      <c r="A425" s="52"/>
      <c r="B425" s="52"/>
      <c r="C425" s="52"/>
      <c r="D425" s="52"/>
      <c r="E425" s="107"/>
      <c r="F425" s="107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</row>
    <row r="426" spans="1:25" x14ac:dyDescent="0.3">
      <c r="A426" s="52"/>
      <c r="B426" s="52"/>
      <c r="C426" s="52"/>
      <c r="D426" s="52"/>
      <c r="E426" s="107"/>
      <c r="F426" s="107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</row>
    <row r="427" spans="1:25" x14ac:dyDescent="0.3">
      <c r="A427" s="52"/>
      <c r="B427" s="52"/>
      <c r="C427" s="52"/>
      <c r="D427" s="52"/>
      <c r="E427" s="107"/>
      <c r="F427" s="107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</row>
    <row r="428" spans="1:25" x14ac:dyDescent="0.3">
      <c r="A428" s="52"/>
      <c r="B428" s="52"/>
      <c r="C428" s="52"/>
      <c r="D428" s="52"/>
      <c r="E428" s="107"/>
      <c r="F428" s="107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</row>
    <row r="429" spans="1:25" x14ac:dyDescent="0.3">
      <c r="A429" s="52"/>
      <c r="B429" s="52"/>
      <c r="C429" s="52"/>
      <c r="D429" s="52"/>
      <c r="E429" s="107"/>
      <c r="F429" s="107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</row>
    <row r="430" spans="1:25" x14ac:dyDescent="0.3">
      <c r="A430" s="52"/>
      <c r="B430" s="52"/>
      <c r="C430" s="52"/>
      <c r="D430" s="52"/>
      <c r="E430" s="107"/>
      <c r="F430" s="107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</row>
    <row r="431" spans="1:25" x14ac:dyDescent="0.3">
      <c r="A431" s="52"/>
      <c r="B431" s="52"/>
      <c r="C431" s="52"/>
      <c r="D431" s="52"/>
      <c r="E431" s="107"/>
      <c r="F431" s="107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</row>
    <row r="432" spans="1:25" x14ac:dyDescent="0.3">
      <c r="A432" s="52"/>
      <c r="B432" s="52"/>
      <c r="C432" s="52"/>
      <c r="D432" s="52"/>
      <c r="E432" s="107"/>
      <c r="F432" s="107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</row>
    <row r="433" spans="1:25" x14ac:dyDescent="0.3">
      <c r="A433" s="52"/>
      <c r="B433" s="52"/>
      <c r="C433" s="52"/>
      <c r="D433" s="52"/>
      <c r="E433" s="107"/>
      <c r="F433" s="107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</row>
    <row r="434" spans="1:25" x14ac:dyDescent="0.3">
      <c r="A434" s="52"/>
      <c r="B434" s="52"/>
      <c r="C434" s="52"/>
      <c r="D434" s="52"/>
      <c r="E434" s="107"/>
      <c r="F434" s="107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</row>
    <row r="435" spans="1:25" x14ac:dyDescent="0.3">
      <c r="A435" s="52"/>
      <c r="B435" s="52"/>
      <c r="C435" s="52"/>
      <c r="D435" s="52"/>
      <c r="E435" s="107"/>
      <c r="F435" s="107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</row>
    <row r="436" spans="1:25" x14ac:dyDescent="0.3">
      <c r="A436" s="52"/>
      <c r="B436" s="52"/>
      <c r="C436" s="52"/>
      <c r="D436" s="52"/>
      <c r="E436" s="107"/>
      <c r="F436" s="107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</row>
    <row r="437" spans="1:25" x14ac:dyDescent="0.3">
      <c r="A437" s="52"/>
      <c r="B437" s="52"/>
      <c r="C437" s="52"/>
      <c r="D437" s="52"/>
      <c r="E437" s="107"/>
      <c r="F437" s="107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</row>
    <row r="438" spans="1:25" x14ac:dyDescent="0.3">
      <c r="A438" s="52"/>
      <c r="B438" s="52"/>
      <c r="C438" s="52"/>
      <c r="D438" s="52"/>
      <c r="E438" s="107"/>
      <c r="F438" s="107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</row>
    <row r="439" spans="1:25" x14ac:dyDescent="0.3">
      <c r="A439" s="52"/>
      <c r="B439" s="52"/>
      <c r="C439" s="52"/>
      <c r="D439" s="52"/>
      <c r="E439" s="107"/>
      <c r="F439" s="107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</row>
    <row r="440" spans="1:25" x14ac:dyDescent="0.3">
      <c r="A440" s="52"/>
      <c r="B440" s="52"/>
      <c r="C440" s="52"/>
      <c r="D440" s="52"/>
      <c r="E440" s="107"/>
      <c r="F440" s="107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</row>
    <row r="441" spans="1:25" x14ac:dyDescent="0.3">
      <c r="A441" s="52"/>
      <c r="B441" s="52"/>
      <c r="C441" s="52"/>
      <c r="D441" s="52"/>
      <c r="E441" s="107"/>
      <c r="F441" s="107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</row>
    <row r="442" spans="1:25" x14ac:dyDescent="0.3">
      <c r="A442" s="52"/>
      <c r="B442" s="52"/>
      <c r="C442" s="52"/>
      <c r="D442" s="52"/>
      <c r="E442" s="107"/>
      <c r="F442" s="107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</row>
    <row r="443" spans="1:25" x14ac:dyDescent="0.3">
      <c r="A443" s="52"/>
      <c r="B443" s="52"/>
      <c r="C443" s="52"/>
      <c r="D443" s="52"/>
      <c r="E443" s="107"/>
      <c r="F443" s="107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</row>
    <row r="444" spans="1:25" x14ac:dyDescent="0.3">
      <c r="A444" s="52"/>
      <c r="B444" s="52"/>
      <c r="C444" s="52"/>
      <c r="D444" s="52"/>
      <c r="E444" s="107"/>
      <c r="F444" s="107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</row>
    <row r="445" spans="1:25" x14ac:dyDescent="0.3">
      <c r="A445" s="52"/>
      <c r="B445" s="52"/>
      <c r="C445" s="52"/>
      <c r="D445" s="52"/>
      <c r="E445" s="107"/>
      <c r="F445" s="107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</row>
    <row r="446" spans="1:25" x14ac:dyDescent="0.3">
      <c r="A446" s="52"/>
      <c r="B446" s="52"/>
      <c r="C446" s="52"/>
      <c r="D446" s="52"/>
      <c r="E446" s="107"/>
      <c r="F446" s="107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</row>
    <row r="447" spans="1:25" x14ac:dyDescent="0.3">
      <c r="A447" s="52"/>
      <c r="B447" s="52"/>
      <c r="C447" s="52"/>
      <c r="D447" s="52"/>
      <c r="E447" s="107"/>
      <c r="F447" s="107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</row>
    <row r="448" spans="1:25" x14ac:dyDescent="0.3">
      <c r="A448" s="52"/>
      <c r="B448" s="52"/>
      <c r="C448" s="52"/>
      <c r="D448" s="52"/>
      <c r="E448" s="107"/>
      <c r="F448" s="107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</row>
    <row r="449" spans="1:25" x14ac:dyDescent="0.3">
      <c r="A449" s="52"/>
      <c r="B449" s="52"/>
      <c r="C449" s="52"/>
      <c r="D449" s="52"/>
      <c r="E449" s="107"/>
      <c r="F449" s="107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</row>
    <row r="450" spans="1:25" x14ac:dyDescent="0.3">
      <c r="A450" s="52"/>
      <c r="B450" s="52"/>
      <c r="C450" s="52"/>
      <c r="D450" s="52"/>
      <c r="E450" s="107"/>
      <c r="F450" s="107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</row>
    <row r="451" spans="1:25" x14ac:dyDescent="0.3">
      <c r="A451" s="52"/>
      <c r="B451" s="52"/>
      <c r="C451" s="52"/>
      <c r="D451" s="52"/>
      <c r="E451" s="107"/>
      <c r="F451" s="107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</row>
    <row r="452" spans="1:25" x14ac:dyDescent="0.3">
      <c r="A452" s="52"/>
      <c r="B452" s="52"/>
      <c r="C452" s="52"/>
      <c r="D452" s="52"/>
      <c r="E452" s="107"/>
      <c r="F452" s="107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</row>
    <row r="453" spans="1:25" x14ac:dyDescent="0.3">
      <c r="A453" s="52"/>
      <c r="B453" s="52"/>
      <c r="C453" s="52"/>
      <c r="D453" s="52"/>
      <c r="E453" s="107"/>
      <c r="F453" s="107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</row>
    <row r="454" spans="1:25" x14ac:dyDescent="0.3">
      <c r="A454" s="52"/>
      <c r="B454" s="52"/>
      <c r="C454" s="52"/>
      <c r="D454" s="52"/>
      <c r="E454" s="107"/>
      <c r="F454" s="107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</row>
    <row r="455" spans="1:25" x14ac:dyDescent="0.3">
      <c r="A455" s="52"/>
      <c r="B455" s="52"/>
      <c r="C455" s="52"/>
      <c r="D455" s="52"/>
      <c r="E455" s="107"/>
      <c r="F455" s="107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</row>
    <row r="456" spans="1:25" x14ac:dyDescent="0.3">
      <c r="A456" s="52"/>
      <c r="B456" s="52"/>
      <c r="C456" s="52"/>
      <c r="D456" s="52"/>
      <c r="E456" s="107"/>
      <c r="F456" s="107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</row>
    <row r="457" spans="1:25" x14ac:dyDescent="0.3">
      <c r="A457" s="52"/>
      <c r="B457" s="52"/>
      <c r="C457" s="52"/>
      <c r="D457" s="52"/>
      <c r="E457" s="107"/>
      <c r="F457" s="107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</row>
    <row r="458" spans="1:25" x14ac:dyDescent="0.3">
      <c r="A458" s="52"/>
      <c r="B458" s="52"/>
      <c r="C458" s="52"/>
      <c r="D458" s="52"/>
      <c r="E458" s="107"/>
      <c r="F458" s="107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</row>
    <row r="459" spans="1:25" x14ac:dyDescent="0.3">
      <c r="A459" s="52"/>
      <c r="B459" s="52"/>
      <c r="C459" s="52"/>
      <c r="D459" s="52"/>
      <c r="E459" s="107"/>
      <c r="F459" s="107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</row>
    <row r="460" spans="1:25" x14ac:dyDescent="0.3">
      <c r="A460" s="52"/>
      <c r="B460" s="52"/>
      <c r="C460" s="52"/>
      <c r="D460" s="52"/>
      <c r="E460" s="107"/>
      <c r="F460" s="107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</row>
    <row r="461" spans="1:25" x14ac:dyDescent="0.3">
      <c r="A461" s="52"/>
      <c r="B461" s="52"/>
      <c r="C461" s="52"/>
      <c r="D461" s="52"/>
      <c r="E461" s="107"/>
      <c r="F461" s="107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</row>
    <row r="462" spans="1:25" x14ac:dyDescent="0.3">
      <c r="A462" s="52"/>
      <c r="B462" s="52"/>
      <c r="C462" s="52"/>
      <c r="D462" s="52"/>
      <c r="E462" s="107"/>
      <c r="F462" s="107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</row>
    <row r="463" spans="1:25" x14ac:dyDescent="0.3">
      <c r="A463" s="52"/>
      <c r="B463" s="52"/>
      <c r="C463" s="52"/>
      <c r="D463" s="52"/>
      <c r="E463" s="107"/>
      <c r="F463" s="107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</row>
    <row r="464" spans="1:25" x14ac:dyDescent="0.3">
      <c r="A464" s="52"/>
      <c r="B464" s="52"/>
      <c r="C464" s="52"/>
      <c r="D464" s="52"/>
      <c r="E464" s="107"/>
      <c r="F464" s="107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</row>
    <row r="465" spans="1:25" x14ac:dyDescent="0.3">
      <c r="A465" s="52"/>
      <c r="B465" s="52"/>
      <c r="C465" s="52"/>
      <c r="D465" s="52"/>
      <c r="E465" s="107"/>
      <c r="F465" s="107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</row>
    <row r="466" spans="1:25" x14ac:dyDescent="0.3">
      <c r="A466" s="52"/>
      <c r="B466" s="52"/>
      <c r="C466" s="52"/>
      <c r="D466" s="52"/>
      <c r="E466" s="107"/>
      <c r="F466" s="107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</row>
    <row r="467" spans="1:25" x14ac:dyDescent="0.3">
      <c r="A467" s="52"/>
      <c r="B467" s="52"/>
      <c r="C467" s="52"/>
      <c r="D467" s="52"/>
      <c r="E467" s="107"/>
      <c r="F467" s="107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</row>
    <row r="468" spans="1:25" x14ac:dyDescent="0.3">
      <c r="A468" s="52"/>
      <c r="B468" s="52"/>
      <c r="C468" s="52"/>
      <c r="D468" s="52"/>
      <c r="E468" s="107"/>
      <c r="F468" s="107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</row>
    <row r="469" spans="1:25" x14ac:dyDescent="0.3">
      <c r="A469" s="52"/>
      <c r="B469" s="52"/>
      <c r="C469" s="52"/>
      <c r="D469" s="52"/>
      <c r="E469" s="107"/>
      <c r="F469" s="107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</row>
    <row r="470" spans="1:25" x14ac:dyDescent="0.3">
      <c r="A470" s="52"/>
      <c r="B470" s="52"/>
      <c r="C470" s="52"/>
      <c r="D470" s="52"/>
      <c r="E470" s="107"/>
      <c r="F470" s="107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</row>
    <row r="471" spans="1:25" x14ac:dyDescent="0.3">
      <c r="A471" s="52"/>
      <c r="B471" s="52"/>
      <c r="C471" s="52"/>
      <c r="D471" s="52"/>
      <c r="E471" s="107"/>
      <c r="F471" s="107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</row>
    <row r="472" spans="1:25" x14ac:dyDescent="0.3">
      <c r="A472" s="52"/>
      <c r="B472" s="52"/>
      <c r="C472" s="52"/>
      <c r="D472" s="52"/>
      <c r="E472" s="107"/>
      <c r="F472" s="107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</row>
    <row r="473" spans="1:25" x14ac:dyDescent="0.3">
      <c r="A473" s="52"/>
      <c r="B473" s="52"/>
      <c r="C473" s="52"/>
      <c r="D473" s="52"/>
      <c r="E473" s="107"/>
      <c r="F473" s="107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</row>
    <row r="474" spans="1:25" x14ac:dyDescent="0.3">
      <c r="A474" s="52"/>
      <c r="B474" s="52"/>
      <c r="C474" s="52"/>
      <c r="D474" s="52"/>
      <c r="E474" s="107"/>
      <c r="F474" s="107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</row>
    <row r="475" spans="1:25" x14ac:dyDescent="0.3">
      <c r="A475" s="52"/>
      <c r="B475" s="52"/>
      <c r="C475" s="52"/>
      <c r="D475" s="52"/>
      <c r="E475" s="107"/>
      <c r="F475" s="107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</row>
    <row r="476" spans="1:25" x14ac:dyDescent="0.3">
      <c r="A476" s="52"/>
      <c r="B476" s="52"/>
      <c r="C476" s="52"/>
      <c r="D476" s="52"/>
      <c r="E476" s="107"/>
      <c r="F476" s="107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</row>
    <row r="477" spans="1:25" x14ac:dyDescent="0.3">
      <c r="A477" s="52"/>
      <c r="B477" s="52"/>
      <c r="C477" s="52"/>
      <c r="D477" s="52"/>
      <c r="E477" s="107"/>
      <c r="F477" s="107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</row>
    <row r="478" spans="1:25" x14ac:dyDescent="0.3">
      <c r="A478" s="52"/>
      <c r="B478" s="52"/>
      <c r="C478" s="52"/>
      <c r="D478" s="52"/>
      <c r="E478" s="107"/>
      <c r="F478" s="107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</row>
    <row r="479" spans="1:25" x14ac:dyDescent="0.3">
      <c r="A479" s="52"/>
      <c r="B479" s="52"/>
      <c r="C479" s="52"/>
      <c r="D479" s="52"/>
      <c r="E479" s="107"/>
      <c r="F479" s="107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</row>
    <row r="480" spans="1:25" x14ac:dyDescent="0.3">
      <c r="A480" s="52"/>
      <c r="B480" s="52"/>
      <c r="C480" s="52"/>
      <c r="D480" s="52"/>
      <c r="E480" s="107"/>
      <c r="F480" s="107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</row>
    <row r="481" spans="1:25" x14ac:dyDescent="0.3">
      <c r="A481" s="52"/>
      <c r="B481" s="52"/>
      <c r="C481" s="52"/>
      <c r="D481" s="52"/>
      <c r="E481" s="107"/>
      <c r="F481" s="107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</row>
    <row r="482" spans="1:25" x14ac:dyDescent="0.3">
      <c r="A482" s="52"/>
      <c r="B482" s="52"/>
      <c r="C482" s="52"/>
      <c r="D482" s="52"/>
      <c r="E482" s="107"/>
      <c r="F482" s="107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</row>
    <row r="483" spans="1:25" x14ac:dyDescent="0.3">
      <c r="A483" s="52"/>
      <c r="B483" s="52"/>
      <c r="C483" s="52"/>
      <c r="D483" s="52"/>
      <c r="E483" s="107"/>
      <c r="F483" s="107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</row>
    <row r="484" spans="1:25" x14ac:dyDescent="0.3">
      <c r="A484" s="52"/>
      <c r="B484" s="52"/>
      <c r="C484" s="52"/>
      <c r="D484" s="52"/>
      <c r="E484" s="107"/>
      <c r="F484" s="107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</row>
    <row r="485" spans="1:25" x14ac:dyDescent="0.3">
      <c r="A485" s="52"/>
      <c r="B485" s="52"/>
      <c r="C485" s="52"/>
      <c r="D485" s="52"/>
      <c r="E485" s="107"/>
      <c r="F485" s="107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</row>
    <row r="486" spans="1:25" x14ac:dyDescent="0.3">
      <c r="A486" s="52"/>
      <c r="B486" s="52"/>
      <c r="C486" s="52"/>
      <c r="D486" s="52"/>
      <c r="E486" s="107"/>
      <c r="F486" s="107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</row>
    <row r="487" spans="1:25" x14ac:dyDescent="0.3">
      <c r="A487" s="52"/>
      <c r="B487" s="52"/>
      <c r="C487" s="52"/>
      <c r="D487" s="52"/>
      <c r="E487" s="107"/>
      <c r="F487" s="107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</row>
    <row r="488" spans="1:25" x14ac:dyDescent="0.3">
      <c r="A488" s="52"/>
      <c r="B488" s="52"/>
      <c r="C488" s="52"/>
      <c r="D488" s="52"/>
      <c r="E488" s="107"/>
      <c r="F488" s="107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</row>
    <row r="489" spans="1:25" x14ac:dyDescent="0.3">
      <c r="A489" s="52"/>
      <c r="B489" s="52"/>
      <c r="C489" s="52"/>
      <c r="D489" s="52"/>
      <c r="E489" s="107"/>
      <c r="F489" s="107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</row>
    <row r="490" spans="1:25" x14ac:dyDescent="0.3">
      <c r="A490" s="52"/>
      <c r="B490" s="52"/>
      <c r="C490" s="52"/>
      <c r="D490" s="52"/>
      <c r="E490" s="107"/>
      <c r="F490" s="107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</row>
    <row r="491" spans="1:25" x14ac:dyDescent="0.3">
      <c r="A491" s="52"/>
      <c r="B491" s="52"/>
      <c r="C491" s="52"/>
      <c r="D491" s="52"/>
      <c r="E491" s="107"/>
      <c r="F491" s="107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</row>
    <row r="492" spans="1:25" x14ac:dyDescent="0.3">
      <c r="A492" s="52"/>
      <c r="B492" s="52"/>
      <c r="C492" s="52"/>
      <c r="D492" s="52"/>
      <c r="E492" s="107"/>
      <c r="F492" s="107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</row>
    <row r="493" spans="1:25" x14ac:dyDescent="0.3">
      <c r="A493" s="52"/>
      <c r="B493" s="52"/>
      <c r="C493" s="52"/>
      <c r="D493" s="52"/>
      <c r="E493" s="107"/>
      <c r="F493" s="107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</row>
    <row r="494" spans="1:25" x14ac:dyDescent="0.3">
      <c r="A494" s="52"/>
      <c r="B494" s="52"/>
      <c r="C494" s="52"/>
      <c r="D494" s="52"/>
      <c r="E494" s="107"/>
      <c r="F494" s="107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</row>
    <row r="495" spans="1:25" x14ac:dyDescent="0.3">
      <c r="A495" s="52"/>
      <c r="B495" s="52"/>
      <c r="C495" s="52"/>
      <c r="D495" s="52"/>
      <c r="E495" s="107"/>
      <c r="F495" s="107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</row>
    <row r="496" spans="1:25" x14ac:dyDescent="0.3">
      <c r="A496" s="52"/>
      <c r="B496" s="52"/>
      <c r="C496" s="52"/>
      <c r="D496" s="52"/>
      <c r="E496" s="107"/>
      <c r="F496" s="107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</row>
    <row r="497" spans="1:25" x14ac:dyDescent="0.3">
      <c r="A497" s="52"/>
      <c r="B497" s="52"/>
      <c r="C497" s="52"/>
      <c r="D497" s="52"/>
      <c r="E497" s="107"/>
      <c r="F497" s="107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</row>
    <row r="498" spans="1:25" x14ac:dyDescent="0.3">
      <c r="A498" s="52"/>
      <c r="B498" s="52"/>
      <c r="C498" s="52"/>
      <c r="D498" s="52"/>
      <c r="E498" s="107"/>
      <c r="F498" s="107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</row>
    <row r="499" spans="1:25" x14ac:dyDescent="0.3">
      <c r="A499" s="52"/>
      <c r="B499" s="52"/>
      <c r="C499" s="52"/>
      <c r="D499" s="52"/>
      <c r="E499" s="107"/>
      <c r="F499" s="107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</row>
    <row r="500" spans="1:25" x14ac:dyDescent="0.3">
      <c r="A500" s="52"/>
      <c r="B500" s="52"/>
      <c r="C500" s="52"/>
      <c r="D500" s="52"/>
      <c r="E500" s="107"/>
      <c r="F500" s="107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</row>
    <row r="501" spans="1:25" x14ac:dyDescent="0.3">
      <c r="A501" s="52"/>
      <c r="B501" s="52"/>
      <c r="C501" s="52"/>
      <c r="D501" s="52"/>
      <c r="E501" s="107"/>
      <c r="F501" s="107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</row>
    <row r="502" spans="1:25" x14ac:dyDescent="0.3">
      <c r="A502" s="52"/>
      <c r="B502" s="52"/>
      <c r="C502" s="52"/>
      <c r="D502" s="52"/>
      <c r="E502" s="107"/>
      <c r="F502" s="107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</row>
    <row r="503" spans="1:25" x14ac:dyDescent="0.3">
      <c r="A503" s="52"/>
      <c r="B503" s="52"/>
      <c r="C503" s="52"/>
      <c r="D503" s="52"/>
      <c r="E503" s="107"/>
      <c r="F503" s="107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</row>
    <row r="504" spans="1:25" x14ac:dyDescent="0.3">
      <c r="A504" s="52"/>
      <c r="B504" s="52"/>
      <c r="C504" s="52"/>
      <c r="D504" s="52"/>
      <c r="E504" s="107"/>
      <c r="F504" s="107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</row>
    <row r="505" spans="1:25" x14ac:dyDescent="0.3">
      <c r="A505" s="52"/>
      <c r="B505" s="52"/>
      <c r="C505" s="52"/>
      <c r="D505" s="52"/>
      <c r="E505" s="107"/>
      <c r="F505" s="107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</row>
    <row r="506" spans="1:25" x14ac:dyDescent="0.3">
      <c r="A506" s="52"/>
      <c r="B506" s="52"/>
      <c r="C506" s="52"/>
      <c r="D506" s="52"/>
      <c r="E506" s="107"/>
      <c r="F506" s="107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</row>
    <row r="507" spans="1:25" x14ac:dyDescent="0.3">
      <c r="A507" s="52"/>
      <c r="B507" s="52"/>
      <c r="C507" s="52"/>
      <c r="D507" s="52"/>
      <c r="E507" s="107"/>
      <c r="F507" s="107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</row>
    <row r="508" spans="1:25" x14ac:dyDescent="0.3">
      <c r="A508" s="52"/>
      <c r="B508" s="52"/>
      <c r="C508" s="52"/>
      <c r="D508" s="52"/>
      <c r="E508" s="107"/>
      <c r="F508" s="107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</row>
    <row r="509" spans="1:25" x14ac:dyDescent="0.3">
      <c r="A509" s="52"/>
      <c r="B509" s="52"/>
      <c r="C509" s="52"/>
      <c r="D509" s="52"/>
      <c r="E509" s="107"/>
      <c r="F509" s="107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</row>
    <row r="510" spans="1:25" x14ac:dyDescent="0.3">
      <c r="A510" s="52"/>
      <c r="B510" s="52"/>
      <c r="C510" s="52"/>
      <c r="D510" s="52"/>
      <c r="E510" s="107"/>
      <c r="F510" s="107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</row>
    <row r="511" spans="1:25" x14ac:dyDescent="0.3">
      <c r="A511" s="52"/>
      <c r="B511" s="52"/>
      <c r="C511" s="52"/>
      <c r="D511" s="52"/>
      <c r="E511" s="107"/>
      <c r="F511" s="107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</row>
    <row r="512" spans="1:25" x14ac:dyDescent="0.3">
      <c r="A512" s="52"/>
      <c r="B512" s="52"/>
      <c r="C512" s="52"/>
      <c r="D512" s="52"/>
      <c r="E512" s="107"/>
      <c r="F512" s="107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</row>
    <row r="513" spans="1:25" x14ac:dyDescent="0.3">
      <c r="A513" s="52"/>
      <c r="B513" s="52"/>
      <c r="C513" s="52"/>
      <c r="D513" s="52"/>
      <c r="E513" s="107"/>
      <c r="F513" s="107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</row>
    <row r="514" spans="1:25" x14ac:dyDescent="0.3">
      <c r="A514" s="52"/>
      <c r="B514" s="52"/>
      <c r="C514" s="52"/>
      <c r="D514" s="52"/>
      <c r="E514" s="107"/>
      <c r="F514" s="107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</row>
    <row r="515" spans="1:25" x14ac:dyDescent="0.3">
      <c r="A515" s="52"/>
      <c r="B515" s="52"/>
      <c r="C515" s="52"/>
      <c r="D515" s="52"/>
      <c r="E515" s="107"/>
      <c r="F515" s="107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</row>
    <row r="516" spans="1:25" x14ac:dyDescent="0.3">
      <c r="A516" s="52"/>
      <c r="B516" s="52"/>
      <c r="C516" s="52"/>
      <c r="D516" s="52"/>
      <c r="E516" s="107"/>
      <c r="F516" s="107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</row>
    <row r="517" spans="1:25" x14ac:dyDescent="0.3">
      <c r="A517" s="52"/>
      <c r="B517" s="52"/>
      <c r="C517" s="52"/>
      <c r="D517" s="52"/>
      <c r="E517" s="107"/>
      <c r="F517" s="107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</row>
    <row r="518" spans="1:25" x14ac:dyDescent="0.3">
      <c r="A518" s="52"/>
      <c r="B518" s="52"/>
      <c r="C518" s="52"/>
      <c r="D518" s="52"/>
      <c r="E518" s="107"/>
      <c r="F518" s="107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</row>
    <row r="519" spans="1:25" x14ac:dyDescent="0.3">
      <c r="A519" s="52"/>
      <c r="B519" s="52"/>
      <c r="C519" s="52"/>
      <c r="D519" s="52"/>
      <c r="E519" s="107"/>
      <c r="F519" s="107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</row>
    <row r="520" spans="1:25" x14ac:dyDescent="0.3">
      <c r="A520" s="52"/>
      <c r="B520" s="52"/>
      <c r="C520" s="52"/>
      <c r="D520" s="52"/>
      <c r="E520" s="107"/>
      <c r="F520" s="107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</row>
    <row r="521" spans="1:25" x14ac:dyDescent="0.3">
      <c r="A521" s="52"/>
      <c r="B521" s="52"/>
      <c r="C521" s="52"/>
      <c r="D521" s="52"/>
      <c r="E521" s="107"/>
      <c r="F521" s="107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</row>
    <row r="522" spans="1:25" x14ac:dyDescent="0.3">
      <c r="A522" s="52"/>
      <c r="B522" s="52"/>
      <c r="C522" s="52"/>
      <c r="D522" s="52"/>
      <c r="E522" s="107"/>
      <c r="F522" s="107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</row>
    <row r="523" spans="1:25" x14ac:dyDescent="0.3">
      <c r="A523" s="52"/>
      <c r="B523" s="52"/>
      <c r="C523" s="52"/>
      <c r="D523" s="52"/>
      <c r="E523" s="107"/>
      <c r="F523" s="107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</row>
    <row r="524" spans="1:25" x14ac:dyDescent="0.3">
      <c r="A524" s="52"/>
      <c r="B524" s="52"/>
      <c r="C524" s="52"/>
      <c r="D524" s="52"/>
      <c r="E524" s="107"/>
      <c r="F524" s="107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</row>
    <row r="525" spans="1:25" x14ac:dyDescent="0.3">
      <c r="A525" s="52"/>
      <c r="B525" s="52"/>
      <c r="C525" s="52"/>
      <c r="D525" s="52"/>
      <c r="E525" s="107"/>
      <c r="F525" s="107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</row>
    <row r="526" spans="1:25" x14ac:dyDescent="0.3">
      <c r="A526" s="52"/>
      <c r="B526" s="52"/>
      <c r="C526" s="52"/>
      <c r="D526" s="52"/>
      <c r="E526" s="107"/>
      <c r="F526" s="107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</row>
    <row r="527" spans="1:25" x14ac:dyDescent="0.3">
      <c r="A527" s="52"/>
      <c r="B527" s="52"/>
      <c r="C527" s="52"/>
      <c r="D527" s="52"/>
      <c r="E527" s="107"/>
      <c r="F527" s="107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</row>
    <row r="528" spans="1:25" x14ac:dyDescent="0.3">
      <c r="A528" s="52"/>
      <c r="B528" s="52"/>
      <c r="C528" s="52"/>
      <c r="D528" s="52"/>
      <c r="E528" s="107"/>
      <c r="F528" s="107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</row>
    <row r="529" spans="1:25" x14ac:dyDescent="0.3">
      <c r="A529" s="52"/>
      <c r="B529" s="52"/>
      <c r="C529" s="52"/>
      <c r="D529" s="52"/>
      <c r="E529" s="107"/>
      <c r="F529" s="107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</row>
    <row r="530" spans="1:25" x14ac:dyDescent="0.3">
      <c r="A530" s="52"/>
      <c r="B530" s="52"/>
      <c r="C530" s="52"/>
      <c r="D530" s="52"/>
      <c r="E530" s="107"/>
      <c r="F530" s="107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</row>
    <row r="531" spans="1:25" x14ac:dyDescent="0.3">
      <c r="A531" s="52"/>
      <c r="B531" s="52"/>
      <c r="C531" s="52"/>
      <c r="D531" s="52"/>
      <c r="E531" s="107"/>
      <c r="F531" s="107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</row>
    <row r="532" spans="1:25" x14ac:dyDescent="0.3">
      <c r="A532" s="52"/>
      <c r="B532" s="52"/>
      <c r="C532" s="52"/>
      <c r="D532" s="52"/>
      <c r="E532" s="107"/>
      <c r="F532" s="107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</row>
    <row r="533" spans="1:25" x14ac:dyDescent="0.3">
      <c r="A533" s="52"/>
      <c r="B533" s="52"/>
      <c r="C533" s="52"/>
      <c r="D533" s="52"/>
      <c r="E533" s="107"/>
      <c r="F533" s="107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</row>
    <row r="534" spans="1:25" x14ac:dyDescent="0.3">
      <c r="A534" s="52"/>
      <c r="B534" s="52"/>
      <c r="C534" s="52"/>
      <c r="D534" s="52"/>
      <c r="E534" s="107"/>
      <c r="F534" s="107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</row>
    <row r="535" spans="1:25" x14ac:dyDescent="0.3">
      <c r="A535" s="52"/>
      <c r="B535" s="52"/>
      <c r="C535" s="52"/>
      <c r="D535" s="52"/>
      <c r="E535" s="107"/>
      <c r="F535" s="107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</row>
    <row r="536" spans="1:25" x14ac:dyDescent="0.3">
      <c r="A536" s="52"/>
      <c r="B536" s="52"/>
      <c r="C536" s="52"/>
      <c r="D536" s="52"/>
      <c r="E536" s="107"/>
      <c r="F536" s="107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</row>
    <row r="537" spans="1:25" x14ac:dyDescent="0.3">
      <c r="A537" s="52"/>
      <c r="B537" s="52"/>
      <c r="C537" s="52"/>
      <c r="D537" s="52"/>
      <c r="E537" s="107"/>
      <c r="F537" s="107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</row>
    <row r="538" spans="1:25" x14ac:dyDescent="0.3">
      <c r="A538" s="52"/>
      <c r="B538" s="52"/>
      <c r="C538" s="52"/>
      <c r="D538" s="52"/>
      <c r="E538" s="107"/>
      <c r="F538" s="107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</row>
    <row r="539" spans="1:25" x14ac:dyDescent="0.3">
      <c r="A539" s="52"/>
      <c r="B539" s="52"/>
      <c r="C539" s="52"/>
      <c r="D539" s="52"/>
      <c r="E539" s="107"/>
      <c r="F539" s="107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</row>
    <row r="540" spans="1:25" x14ac:dyDescent="0.3">
      <c r="A540" s="52"/>
      <c r="B540" s="52"/>
      <c r="C540" s="52"/>
      <c r="D540" s="52"/>
      <c r="E540" s="107"/>
      <c r="F540" s="107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</row>
    <row r="541" spans="1:25" x14ac:dyDescent="0.3">
      <c r="A541" s="52"/>
      <c r="B541" s="52"/>
      <c r="C541" s="52"/>
      <c r="D541" s="52"/>
      <c r="E541" s="107"/>
      <c r="F541" s="107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</row>
    <row r="542" spans="1:25" x14ac:dyDescent="0.3">
      <c r="A542" s="52"/>
      <c r="B542" s="52"/>
      <c r="C542" s="52"/>
      <c r="D542" s="52"/>
      <c r="E542" s="107"/>
      <c r="F542" s="107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</row>
    <row r="543" spans="1:25" x14ac:dyDescent="0.3">
      <c r="A543" s="52"/>
      <c r="B543" s="52"/>
      <c r="C543" s="52"/>
      <c r="D543" s="52"/>
      <c r="E543" s="107"/>
      <c r="F543" s="107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</row>
    <row r="544" spans="1:25" x14ac:dyDescent="0.3">
      <c r="A544" s="52"/>
      <c r="B544" s="52"/>
      <c r="C544" s="52"/>
      <c r="D544" s="52"/>
      <c r="E544" s="107"/>
      <c r="F544" s="107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</row>
    <row r="545" spans="1:25" x14ac:dyDescent="0.3">
      <c r="A545" s="52"/>
      <c r="B545" s="52"/>
      <c r="C545" s="52"/>
      <c r="D545" s="52"/>
      <c r="E545" s="107"/>
      <c r="F545" s="107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</row>
    <row r="546" spans="1:25" x14ac:dyDescent="0.3">
      <c r="A546" s="52"/>
      <c r="B546" s="52"/>
      <c r="C546" s="52"/>
      <c r="D546" s="52"/>
      <c r="E546" s="107"/>
      <c r="F546" s="107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</row>
    <row r="547" spans="1:25" x14ac:dyDescent="0.3">
      <c r="A547" s="52"/>
      <c r="B547" s="52"/>
      <c r="C547" s="52"/>
      <c r="D547" s="52"/>
      <c r="E547" s="107"/>
      <c r="F547" s="107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</row>
    <row r="548" spans="1:25" x14ac:dyDescent="0.3">
      <c r="A548" s="52"/>
      <c r="B548" s="52"/>
      <c r="C548" s="52"/>
      <c r="D548" s="52"/>
      <c r="E548" s="107"/>
      <c r="F548" s="107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</row>
    <row r="549" spans="1:25" x14ac:dyDescent="0.3">
      <c r="A549" s="52"/>
      <c r="B549" s="52"/>
      <c r="C549" s="52"/>
      <c r="D549" s="52"/>
      <c r="E549" s="107"/>
      <c r="F549" s="107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</row>
    <row r="550" spans="1:25" x14ac:dyDescent="0.3">
      <c r="A550" s="52"/>
      <c r="B550" s="52"/>
      <c r="C550" s="52"/>
      <c r="D550" s="52"/>
      <c r="E550" s="107"/>
      <c r="F550" s="107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</row>
    <row r="551" spans="1:25" x14ac:dyDescent="0.3">
      <c r="A551" s="52"/>
      <c r="B551" s="52"/>
      <c r="C551" s="52"/>
      <c r="D551" s="52"/>
      <c r="E551" s="107"/>
      <c r="F551" s="107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</row>
    <row r="552" spans="1:25" x14ac:dyDescent="0.3">
      <c r="A552" s="52"/>
      <c r="B552" s="52"/>
      <c r="C552" s="52"/>
      <c r="D552" s="52"/>
      <c r="E552" s="107"/>
      <c r="F552" s="107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</row>
    <row r="553" spans="1:25" x14ac:dyDescent="0.3">
      <c r="A553" s="52"/>
      <c r="B553" s="52"/>
      <c r="C553" s="52"/>
      <c r="D553" s="52"/>
      <c r="E553" s="107"/>
      <c r="F553" s="107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</row>
    <row r="554" spans="1:25" x14ac:dyDescent="0.3">
      <c r="A554" s="52"/>
      <c r="B554" s="52"/>
      <c r="C554" s="52"/>
      <c r="D554" s="52"/>
      <c r="E554" s="107"/>
      <c r="F554" s="107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</row>
    <row r="555" spans="1:25" x14ac:dyDescent="0.3">
      <c r="A555" s="52"/>
      <c r="B555" s="52"/>
      <c r="C555" s="52"/>
      <c r="D555" s="52"/>
      <c r="E555" s="107"/>
      <c r="F555" s="107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</row>
    <row r="556" spans="1:25" x14ac:dyDescent="0.3">
      <c r="A556" s="52"/>
      <c r="B556" s="52"/>
      <c r="C556" s="52"/>
      <c r="D556" s="52"/>
      <c r="E556" s="107"/>
      <c r="F556" s="107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</row>
    <row r="557" spans="1:25" x14ac:dyDescent="0.3">
      <c r="A557" s="52"/>
      <c r="B557" s="52"/>
      <c r="C557" s="52"/>
      <c r="D557" s="52"/>
      <c r="E557" s="107"/>
      <c r="F557" s="107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</row>
    <row r="558" spans="1:25" x14ac:dyDescent="0.3">
      <c r="A558" s="52"/>
      <c r="B558" s="52"/>
      <c r="C558" s="52"/>
      <c r="D558" s="52"/>
      <c r="E558" s="107"/>
      <c r="F558" s="107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</row>
    <row r="559" spans="1:25" x14ac:dyDescent="0.3">
      <c r="A559" s="52"/>
      <c r="B559" s="52"/>
      <c r="C559" s="52"/>
      <c r="D559" s="52"/>
      <c r="E559" s="107"/>
      <c r="F559" s="107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</row>
    <row r="560" spans="1:25" x14ac:dyDescent="0.3">
      <c r="A560" s="52"/>
      <c r="B560" s="52"/>
      <c r="C560" s="52"/>
      <c r="D560" s="52"/>
      <c r="E560" s="107"/>
      <c r="F560" s="107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</row>
    <row r="561" spans="1:25" x14ac:dyDescent="0.3">
      <c r="A561" s="52"/>
      <c r="B561" s="52"/>
      <c r="C561" s="52"/>
      <c r="D561" s="52"/>
      <c r="E561" s="107"/>
      <c r="F561" s="107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</row>
    <row r="562" spans="1:25" x14ac:dyDescent="0.3">
      <c r="A562" s="52"/>
      <c r="B562" s="52"/>
      <c r="C562" s="52"/>
      <c r="D562" s="52"/>
      <c r="E562" s="107"/>
      <c r="F562" s="107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</row>
    <row r="563" spans="1:25" x14ac:dyDescent="0.3">
      <c r="A563" s="52"/>
      <c r="B563" s="52"/>
      <c r="C563" s="52"/>
      <c r="D563" s="52"/>
      <c r="E563" s="107"/>
      <c r="F563" s="107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</row>
    <row r="564" spans="1:25" x14ac:dyDescent="0.3">
      <c r="A564" s="52"/>
      <c r="B564" s="52"/>
      <c r="C564" s="52"/>
      <c r="D564" s="52"/>
      <c r="E564" s="107"/>
      <c r="F564" s="107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</row>
    <row r="565" spans="1:25" x14ac:dyDescent="0.3">
      <c r="A565" s="52"/>
      <c r="B565" s="52"/>
      <c r="C565" s="52"/>
      <c r="D565" s="52"/>
      <c r="E565" s="107"/>
      <c r="F565" s="107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</row>
    <row r="566" spans="1:25" x14ac:dyDescent="0.3">
      <c r="A566" s="52"/>
      <c r="B566" s="52"/>
      <c r="C566" s="52"/>
      <c r="D566" s="52"/>
      <c r="E566" s="107"/>
      <c r="F566" s="107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</row>
    <row r="567" spans="1:25" x14ac:dyDescent="0.3">
      <c r="A567" s="52"/>
      <c r="B567" s="52"/>
      <c r="C567" s="52"/>
      <c r="D567" s="52"/>
      <c r="E567" s="107"/>
      <c r="F567" s="107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</row>
    <row r="568" spans="1:25" x14ac:dyDescent="0.3">
      <c r="A568" s="52"/>
      <c r="B568" s="52"/>
      <c r="C568" s="52"/>
      <c r="D568" s="52"/>
      <c r="E568" s="107"/>
      <c r="F568" s="107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</row>
    <row r="569" spans="1:25" x14ac:dyDescent="0.3">
      <c r="A569" s="52"/>
      <c r="B569" s="52"/>
      <c r="C569" s="52"/>
      <c r="D569" s="52"/>
      <c r="E569" s="107"/>
      <c r="F569" s="107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</row>
    <row r="570" spans="1:25" x14ac:dyDescent="0.3">
      <c r="A570" s="52"/>
      <c r="B570" s="52"/>
      <c r="C570" s="52"/>
      <c r="D570" s="52"/>
      <c r="E570" s="107"/>
      <c r="F570" s="107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</row>
    <row r="571" spans="1:25" x14ac:dyDescent="0.3">
      <c r="A571" s="52"/>
      <c r="B571" s="52"/>
      <c r="C571" s="52"/>
      <c r="D571" s="52"/>
      <c r="E571" s="107"/>
      <c r="F571" s="107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</row>
    <row r="572" spans="1:25" x14ac:dyDescent="0.3">
      <c r="A572" s="52"/>
      <c r="B572" s="52"/>
      <c r="C572" s="52"/>
      <c r="D572" s="52"/>
      <c r="E572" s="107"/>
      <c r="F572" s="107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</row>
    <row r="573" spans="1:25" x14ac:dyDescent="0.3">
      <c r="A573" s="52"/>
      <c r="B573" s="52"/>
      <c r="C573" s="52"/>
      <c r="D573" s="52"/>
      <c r="E573" s="107"/>
      <c r="F573" s="107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</row>
    <row r="574" spans="1:25" x14ac:dyDescent="0.3">
      <c r="A574" s="52"/>
      <c r="B574" s="52"/>
      <c r="C574" s="52"/>
      <c r="D574" s="52"/>
      <c r="E574" s="107"/>
      <c r="F574" s="107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</row>
    <row r="575" spans="1:25" x14ac:dyDescent="0.3">
      <c r="A575" s="52"/>
      <c r="B575" s="52"/>
      <c r="C575" s="52"/>
      <c r="D575" s="52"/>
      <c r="E575" s="107"/>
      <c r="F575" s="107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</row>
    <row r="576" spans="1:25" x14ac:dyDescent="0.3">
      <c r="A576" s="52"/>
      <c r="B576" s="52"/>
      <c r="C576" s="52"/>
      <c r="D576" s="52"/>
      <c r="E576" s="107"/>
      <c r="F576" s="107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</row>
    <row r="577" spans="1:25" x14ac:dyDescent="0.3">
      <c r="A577" s="52"/>
      <c r="B577" s="52"/>
      <c r="C577" s="52"/>
      <c r="D577" s="52"/>
      <c r="E577" s="107"/>
      <c r="F577" s="107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</row>
    <row r="578" spans="1:25" x14ac:dyDescent="0.3">
      <c r="A578" s="52"/>
      <c r="B578" s="52"/>
      <c r="C578" s="52"/>
      <c r="D578" s="52"/>
      <c r="E578" s="107"/>
      <c r="F578" s="107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</row>
    <row r="579" spans="1:25" x14ac:dyDescent="0.3">
      <c r="A579" s="52"/>
      <c r="B579" s="52"/>
      <c r="C579" s="52"/>
      <c r="D579" s="52"/>
      <c r="E579" s="107"/>
      <c r="F579" s="107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</row>
    <row r="580" spans="1:25" x14ac:dyDescent="0.3">
      <c r="A580" s="52"/>
      <c r="B580" s="52"/>
      <c r="C580" s="52"/>
      <c r="D580" s="52"/>
      <c r="E580" s="107"/>
      <c r="F580" s="107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</row>
    <row r="581" spans="1:25" x14ac:dyDescent="0.3">
      <c r="A581" s="52"/>
      <c r="B581" s="52"/>
      <c r="C581" s="52"/>
      <c r="D581" s="52"/>
      <c r="E581" s="107"/>
      <c r="F581" s="107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</row>
    <row r="582" spans="1:25" x14ac:dyDescent="0.3">
      <c r="A582" s="52"/>
      <c r="B582" s="52"/>
      <c r="C582" s="52"/>
      <c r="D582" s="52"/>
      <c r="E582" s="107"/>
      <c r="F582" s="107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</row>
    <row r="583" spans="1:25" x14ac:dyDescent="0.3">
      <c r="A583" s="52"/>
      <c r="B583" s="52"/>
      <c r="C583" s="52"/>
      <c r="D583" s="52"/>
      <c r="E583" s="107"/>
      <c r="F583" s="107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</row>
    <row r="584" spans="1:25" x14ac:dyDescent="0.3">
      <c r="A584" s="52"/>
      <c r="B584" s="52"/>
      <c r="C584" s="52"/>
      <c r="D584" s="52"/>
      <c r="E584" s="107"/>
      <c r="F584" s="107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</row>
    <row r="585" spans="1:25" x14ac:dyDescent="0.3">
      <c r="A585" s="52"/>
      <c r="B585" s="52"/>
      <c r="C585" s="52"/>
      <c r="D585" s="52"/>
      <c r="E585" s="107"/>
      <c r="F585" s="107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</row>
    <row r="586" spans="1:25" x14ac:dyDescent="0.3">
      <c r="A586" s="52"/>
      <c r="B586" s="52"/>
      <c r="C586" s="52"/>
      <c r="D586" s="52"/>
      <c r="E586" s="107"/>
      <c r="F586" s="107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</row>
    <row r="587" spans="1:25" x14ac:dyDescent="0.3">
      <c r="A587" s="52"/>
      <c r="B587" s="52"/>
      <c r="C587" s="52"/>
      <c r="D587" s="52"/>
      <c r="E587" s="107"/>
      <c r="F587" s="107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</row>
    <row r="588" spans="1:25" x14ac:dyDescent="0.3">
      <c r="A588" s="52"/>
      <c r="B588" s="52"/>
      <c r="C588" s="52"/>
      <c r="D588" s="52"/>
      <c r="E588" s="107"/>
      <c r="F588" s="107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</row>
    <row r="589" spans="1:25" x14ac:dyDescent="0.3">
      <c r="A589" s="52"/>
      <c r="B589" s="52"/>
      <c r="C589" s="52"/>
      <c r="D589" s="52"/>
      <c r="E589" s="107"/>
      <c r="F589" s="107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</row>
    <row r="590" spans="1:25" x14ac:dyDescent="0.3">
      <c r="A590" s="52"/>
      <c r="B590" s="52"/>
      <c r="C590" s="52"/>
      <c r="D590" s="52"/>
      <c r="E590" s="107"/>
      <c r="F590" s="107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</row>
    <row r="591" spans="1:25" x14ac:dyDescent="0.3">
      <c r="A591" s="52"/>
      <c r="B591" s="52"/>
      <c r="C591" s="52"/>
      <c r="D591" s="52"/>
      <c r="E591" s="107"/>
      <c r="F591" s="107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</row>
    <row r="592" spans="1:25" x14ac:dyDescent="0.3">
      <c r="A592" s="52"/>
      <c r="B592" s="52"/>
      <c r="C592" s="52"/>
      <c r="D592" s="52"/>
      <c r="E592" s="107"/>
      <c r="F592" s="107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</row>
    <row r="593" spans="1:25" x14ac:dyDescent="0.3">
      <c r="A593" s="52"/>
      <c r="B593" s="52"/>
      <c r="C593" s="52"/>
      <c r="D593" s="52"/>
      <c r="E593" s="107"/>
      <c r="F593" s="107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</row>
    <row r="594" spans="1:25" x14ac:dyDescent="0.3">
      <c r="A594" s="52"/>
      <c r="B594" s="52"/>
      <c r="C594" s="52"/>
      <c r="D594" s="52"/>
      <c r="E594" s="107"/>
      <c r="F594" s="107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</row>
    <row r="595" spans="1:25" x14ac:dyDescent="0.3">
      <c r="A595" s="52"/>
      <c r="B595" s="52"/>
      <c r="C595" s="52"/>
      <c r="D595" s="52"/>
      <c r="E595" s="107"/>
      <c r="F595" s="107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</row>
    <row r="596" spans="1:25" x14ac:dyDescent="0.3">
      <c r="A596" s="52"/>
      <c r="B596" s="52"/>
      <c r="C596" s="52"/>
      <c r="D596" s="52"/>
      <c r="E596" s="107"/>
      <c r="F596" s="107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</row>
    <row r="597" spans="1:25" x14ac:dyDescent="0.3">
      <c r="A597" s="52"/>
      <c r="B597" s="52"/>
      <c r="C597" s="52"/>
      <c r="D597" s="52"/>
      <c r="E597" s="107"/>
      <c r="F597" s="107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</row>
    <row r="598" spans="1:25" x14ac:dyDescent="0.3">
      <c r="A598" s="52"/>
      <c r="B598" s="52"/>
      <c r="C598" s="52"/>
      <c r="D598" s="52"/>
      <c r="E598" s="107"/>
      <c r="F598" s="107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</row>
    <row r="599" spans="1:25" x14ac:dyDescent="0.3">
      <c r="A599" s="52"/>
      <c r="B599" s="52"/>
      <c r="C599" s="52"/>
      <c r="D599" s="52"/>
      <c r="E599" s="107"/>
      <c r="F599" s="107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</row>
    <row r="600" spans="1:25" x14ac:dyDescent="0.3">
      <c r="A600" s="52"/>
      <c r="B600" s="52"/>
      <c r="C600" s="52"/>
      <c r="D600" s="52"/>
      <c r="E600" s="107"/>
      <c r="F600" s="107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</row>
    <row r="601" spans="1:25" x14ac:dyDescent="0.3">
      <c r="A601" s="52"/>
      <c r="B601" s="52"/>
      <c r="C601" s="52"/>
      <c r="D601" s="52"/>
      <c r="E601" s="107"/>
      <c r="F601" s="107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</row>
    <row r="602" spans="1:25" x14ac:dyDescent="0.3">
      <c r="A602" s="52"/>
      <c r="B602" s="52"/>
      <c r="C602" s="52"/>
      <c r="D602" s="52"/>
      <c r="E602" s="107"/>
      <c r="F602" s="107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</row>
    <row r="603" spans="1:25" x14ac:dyDescent="0.3">
      <c r="A603" s="52"/>
      <c r="B603" s="52"/>
      <c r="C603" s="52"/>
      <c r="D603" s="52"/>
      <c r="E603" s="107"/>
      <c r="F603" s="107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</row>
    <row r="604" spans="1:25" x14ac:dyDescent="0.3">
      <c r="A604" s="52"/>
      <c r="B604" s="52"/>
      <c r="C604" s="52"/>
      <c r="D604" s="52"/>
      <c r="E604" s="107"/>
      <c r="F604" s="107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</row>
    <row r="605" spans="1:25" x14ac:dyDescent="0.3">
      <c r="A605" s="52"/>
      <c r="B605" s="52"/>
      <c r="C605" s="52"/>
      <c r="D605" s="52"/>
      <c r="E605" s="107"/>
      <c r="F605" s="107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</row>
    <row r="606" spans="1:25" x14ac:dyDescent="0.3">
      <c r="A606" s="52"/>
      <c r="B606" s="52"/>
      <c r="C606" s="52"/>
      <c r="D606" s="52"/>
      <c r="E606" s="107"/>
      <c r="F606" s="107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</row>
    <row r="607" spans="1:25" x14ac:dyDescent="0.3">
      <c r="A607" s="52"/>
      <c r="B607" s="52"/>
      <c r="C607" s="52"/>
      <c r="D607" s="52"/>
      <c r="E607" s="107"/>
      <c r="F607" s="107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</row>
    <row r="608" spans="1:25" x14ac:dyDescent="0.3">
      <c r="A608" s="52"/>
      <c r="B608" s="52"/>
      <c r="C608" s="52"/>
      <c r="D608" s="52"/>
      <c r="E608" s="107"/>
      <c r="F608" s="107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</row>
    <row r="609" spans="1:25" x14ac:dyDescent="0.3">
      <c r="A609" s="52"/>
      <c r="B609" s="52"/>
      <c r="C609" s="52"/>
      <c r="D609" s="52"/>
      <c r="E609" s="107"/>
      <c r="F609" s="107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</row>
    <row r="610" spans="1:25" x14ac:dyDescent="0.3">
      <c r="A610" s="52"/>
      <c r="B610" s="52"/>
      <c r="C610" s="52"/>
      <c r="D610" s="52"/>
      <c r="E610" s="107"/>
      <c r="F610" s="107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</row>
    <row r="611" spans="1:25" x14ac:dyDescent="0.3">
      <c r="A611" s="52"/>
      <c r="B611" s="52"/>
      <c r="C611" s="52"/>
      <c r="D611" s="52"/>
      <c r="E611" s="107"/>
      <c r="F611" s="107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</row>
    <row r="612" spans="1:25" x14ac:dyDescent="0.3">
      <c r="A612" s="52"/>
      <c r="B612" s="52"/>
      <c r="C612" s="52"/>
      <c r="D612" s="52"/>
      <c r="E612" s="107"/>
      <c r="F612" s="107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</row>
    <row r="613" spans="1:25" x14ac:dyDescent="0.3">
      <c r="A613" s="52"/>
      <c r="B613" s="52"/>
      <c r="C613" s="52"/>
      <c r="D613" s="52"/>
      <c r="E613" s="107"/>
      <c r="F613" s="107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</row>
    <row r="614" spans="1:25" x14ac:dyDescent="0.3">
      <c r="A614" s="52"/>
      <c r="B614" s="52"/>
      <c r="C614" s="52"/>
      <c r="D614" s="52"/>
      <c r="E614" s="107"/>
      <c r="F614" s="107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</row>
    <row r="615" spans="1:25" x14ac:dyDescent="0.3">
      <c r="A615" s="52"/>
      <c r="B615" s="52"/>
      <c r="C615" s="52"/>
      <c r="D615" s="52"/>
      <c r="E615" s="107"/>
      <c r="F615" s="107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</row>
    <row r="616" spans="1:25" x14ac:dyDescent="0.3">
      <c r="A616" s="52"/>
      <c r="B616" s="52"/>
      <c r="C616" s="52"/>
      <c r="D616" s="52"/>
      <c r="E616" s="107"/>
      <c r="F616" s="107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</row>
    <row r="617" spans="1:25" x14ac:dyDescent="0.3">
      <c r="A617" s="52"/>
      <c r="B617" s="52"/>
      <c r="C617" s="52"/>
      <c r="D617" s="52"/>
      <c r="E617" s="107"/>
      <c r="F617" s="107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</row>
    <row r="618" spans="1:25" x14ac:dyDescent="0.3">
      <c r="A618" s="52"/>
      <c r="B618" s="52"/>
      <c r="C618" s="52"/>
      <c r="D618" s="52"/>
      <c r="E618" s="107"/>
      <c r="F618" s="107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</row>
    <row r="619" spans="1:25" x14ac:dyDescent="0.3">
      <c r="A619" s="52"/>
      <c r="B619" s="52"/>
      <c r="C619" s="52"/>
      <c r="D619" s="52"/>
      <c r="E619" s="107"/>
      <c r="F619" s="107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</row>
    <row r="620" spans="1:25" x14ac:dyDescent="0.3">
      <c r="A620" s="52"/>
      <c r="B620" s="52"/>
      <c r="C620" s="52"/>
      <c r="D620" s="52"/>
      <c r="E620" s="107"/>
      <c r="F620" s="107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</row>
    <row r="621" spans="1:25" x14ac:dyDescent="0.3">
      <c r="A621" s="52"/>
      <c r="B621" s="52"/>
      <c r="C621" s="52"/>
      <c r="D621" s="52"/>
      <c r="E621" s="107"/>
      <c r="F621" s="107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</row>
    <row r="622" spans="1:25" x14ac:dyDescent="0.3">
      <c r="A622" s="52"/>
      <c r="B622" s="52"/>
      <c r="C622" s="52"/>
      <c r="D622" s="52"/>
      <c r="E622" s="107"/>
      <c r="F622" s="107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</row>
    <row r="623" spans="1:25" x14ac:dyDescent="0.3">
      <c r="A623" s="52"/>
      <c r="B623" s="52"/>
      <c r="C623" s="52"/>
      <c r="D623" s="52"/>
      <c r="E623" s="107"/>
      <c r="F623" s="107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</row>
    <row r="624" spans="1:25" x14ac:dyDescent="0.3">
      <c r="A624" s="52"/>
      <c r="B624" s="52"/>
      <c r="C624" s="52"/>
      <c r="D624" s="52"/>
      <c r="E624" s="107"/>
      <c r="F624" s="107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</row>
    <row r="625" spans="1:25" x14ac:dyDescent="0.3">
      <c r="A625" s="52"/>
      <c r="B625" s="52"/>
      <c r="C625" s="52"/>
      <c r="D625" s="52"/>
      <c r="E625" s="107"/>
      <c r="F625" s="107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</row>
    <row r="626" spans="1:25" x14ac:dyDescent="0.3">
      <c r="A626" s="52"/>
      <c r="B626" s="52"/>
      <c r="C626" s="52"/>
      <c r="D626" s="52"/>
      <c r="E626" s="107"/>
      <c r="F626" s="107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</row>
    <row r="627" spans="1:25" x14ac:dyDescent="0.3">
      <c r="A627" s="52"/>
      <c r="B627" s="52"/>
      <c r="C627" s="52"/>
      <c r="D627" s="52"/>
      <c r="E627" s="107"/>
      <c r="F627" s="107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</row>
    <row r="628" spans="1:25" x14ac:dyDescent="0.3">
      <c r="A628" s="52"/>
      <c r="B628" s="52"/>
      <c r="C628" s="52"/>
      <c r="D628" s="52"/>
      <c r="E628" s="107"/>
      <c r="F628" s="107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</row>
    <row r="629" spans="1:25" x14ac:dyDescent="0.3">
      <c r="A629" s="52"/>
      <c r="B629" s="52"/>
      <c r="C629" s="52"/>
      <c r="D629" s="52"/>
      <c r="E629" s="107"/>
      <c r="F629" s="107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</row>
    <row r="630" spans="1:25" x14ac:dyDescent="0.3">
      <c r="A630" s="52"/>
      <c r="B630" s="52"/>
      <c r="C630" s="52"/>
      <c r="D630" s="52"/>
      <c r="E630" s="107"/>
      <c r="F630" s="107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</row>
    <row r="631" spans="1:25" x14ac:dyDescent="0.3">
      <c r="A631" s="52"/>
      <c r="B631" s="52"/>
      <c r="C631" s="52"/>
      <c r="D631" s="52"/>
      <c r="E631" s="107"/>
      <c r="F631" s="107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</row>
    <row r="632" spans="1:25" x14ac:dyDescent="0.3">
      <c r="A632" s="52"/>
      <c r="B632" s="52"/>
      <c r="C632" s="52"/>
      <c r="D632" s="52"/>
      <c r="E632" s="107"/>
      <c r="F632" s="107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</row>
    <row r="633" spans="1:25" x14ac:dyDescent="0.3">
      <c r="A633" s="52"/>
      <c r="B633" s="52"/>
      <c r="C633" s="52"/>
      <c r="D633" s="52"/>
      <c r="E633" s="107"/>
      <c r="F633" s="107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</row>
    <row r="634" spans="1:25" x14ac:dyDescent="0.3">
      <c r="A634" s="52"/>
      <c r="B634" s="52"/>
      <c r="C634" s="52"/>
      <c r="D634" s="52"/>
      <c r="E634" s="107"/>
      <c r="F634" s="107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</row>
    <row r="635" spans="1:25" x14ac:dyDescent="0.3">
      <c r="A635" s="52"/>
      <c r="B635" s="52"/>
      <c r="C635" s="52"/>
      <c r="D635" s="52"/>
      <c r="E635" s="107"/>
      <c r="F635" s="107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</row>
    <row r="636" spans="1:25" x14ac:dyDescent="0.3">
      <c r="A636" s="52"/>
      <c r="B636" s="52"/>
      <c r="C636" s="52"/>
      <c r="D636" s="52"/>
      <c r="E636" s="107"/>
      <c r="F636" s="107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</row>
    <row r="637" spans="1:25" x14ac:dyDescent="0.3">
      <c r="A637" s="52"/>
      <c r="B637" s="52"/>
      <c r="C637" s="52"/>
      <c r="D637" s="52"/>
      <c r="E637" s="107"/>
      <c r="F637" s="107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</row>
    <row r="638" spans="1:25" x14ac:dyDescent="0.3">
      <c r="A638" s="52"/>
      <c r="B638" s="52"/>
      <c r="C638" s="52"/>
      <c r="D638" s="52"/>
      <c r="E638" s="107"/>
      <c r="F638" s="107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</row>
    <row r="639" spans="1:25" x14ac:dyDescent="0.3">
      <c r="A639" s="52"/>
      <c r="B639" s="52"/>
      <c r="C639" s="52"/>
      <c r="D639" s="52"/>
      <c r="E639" s="107"/>
      <c r="F639" s="107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</row>
    <row r="640" spans="1:25" x14ac:dyDescent="0.3">
      <c r="A640" s="52"/>
      <c r="B640" s="52"/>
      <c r="C640" s="52"/>
      <c r="D640" s="52"/>
      <c r="E640" s="107"/>
      <c r="F640" s="107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</row>
    <row r="641" spans="1:25" x14ac:dyDescent="0.3">
      <c r="A641" s="52"/>
      <c r="B641" s="52"/>
      <c r="C641" s="52"/>
      <c r="D641" s="52"/>
      <c r="E641" s="107"/>
      <c r="F641" s="107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</row>
    <row r="642" spans="1:25" x14ac:dyDescent="0.3">
      <c r="A642" s="52"/>
      <c r="B642" s="52"/>
      <c r="C642" s="52"/>
      <c r="D642" s="52"/>
      <c r="E642" s="107"/>
      <c r="F642" s="107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</row>
    <row r="643" spans="1:25" x14ac:dyDescent="0.3">
      <c r="A643" s="52"/>
      <c r="B643" s="52"/>
      <c r="C643" s="52"/>
      <c r="D643" s="52"/>
      <c r="E643" s="107"/>
      <c r="F643" s="107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</row>
    <row r="644" spans="1:25" x14ac:dyDescent="0.3">
      <c r="A644" s="52"/>
      <c r="B644" s="52"/>
      <c r="C644" s="52"/>
      <c r="D644" s="52"/>
      <c r="E644" s="107"/>
      <c r="F644" s="107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</row>
    <row r="645" spans="1:25" x14ac:dyDescent="0.3">
      <c r="A645" s="52"/>
      <c r="B645" s="52"/>
      <c r="C645" s="52"/>
      <c r="D645" s="52"/>
      <c r="E645" s="107"/>
      <c r="F645" s="107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</row>
    <row r="646" spans="1:25" x14ac:dyDescent="0.3">
      <c r="A646" s="52"/>
      <c r="B646" s="52"/>
      <c r="C646" s="52"/>
      <c r="D646" s="52"/>
      <c r="E646" s="107"/>
      <c r="F646" s="107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</row>
    <row r="647" spans="1:25" x14ac:dyDescent="0.3">
      <c r="A647" s="52"/>
      <c r="B647" s="52"/>
      <c r="C647" s="52"/>
      <c r="D647" s="52"/>
      <c r="E647" s="107"/>
      <c r="F647" s="107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</row>
    <row r="648" spans="1:25" x14ac:dyDescent="0.3">
      <c r="A648" s="52"/>
      <c r="B648" s="52"/>
      <c r="C648" s="52"/>
      <c r="D648" s="52"/>
      <c r="E648" s="107"/>
      <c r="F648" s="107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</row>
    <row r="649" spans="1:25" x14ac:dyDescent="0.3">
      <c r="A649" s="52"/>
      <c r="B649" s="52"/>
      <c r="C649" s="52"/>
      <c r="D649" s="52"/>
      <c r="E649" s="107"/>
      <c r="F649" s="107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</row>
    <row r="650" spans="1:25" x14ac:dyDescent="0.3">
      <c r="A650" s="52"/>
      <c r="B650" s="52"/>
      <c r="C650" s="52"/>
      <c r="D650" s="52"/>
      <c r="E650" s="107"/>
      <c r="F650" s="107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</row>
    <row r="651" spans="1:25" x14ac:dyDescent="0.3">
      <c r="A651" s="52"/>
      <c r="B651" s="52"/>
      <c r="C651" s="52"/>
      <c r="D651" s="52"/>
      <c r="E651" s="107"/>
      <c r="F651" s="107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</row>
    <row r="652" spans="1:25" x14ac:dyDescent="0.3">
      <c r="A652" s="52"/>
      <c r="B652" s="52"/>
      <c r="C652" s="52"/>
      <c r="D652" s="52"/>
      <c r="E652" s="107"/>
      <c r="F652" s="107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</row>
    <row r="653" spans="1:25" x14ac:dyDescent="0.3">
      <c r="A653" s="52"/>
      <c r="B653" s="52"/>
      <c r="C653" s="52"/>
      <c r="D653" s="52"/>
      <c r="E653" s="107"/>
      <c r="F653" s="107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</row>
    <row r="654" spans="1:25" x14ac:dyDescent="0.3">
      <c r="A654" s="52"/>
      <c r="B654" s="52"/>
      <c r="C654" s="52"/>
      <c r="D654" s="52"/>
      <c r="E654" s="107"/>
      <c r="F654" s="107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</row>
    <row r="655" spans="1:25" x14ac:dyDescent="0.3">
      <c r="A655" s="52"/>
      <c r="B655" s="52"/>
      <c r="C655" s="52"/>
      <c r="D655" s="52"/>
      <c r="E655" s="107"/>
      <c r="F655" s="107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</row>
    <row r="656" spans="1:25" x14ac:dyDescent="0.3">
      <c r="A656" s="52"/>
      <c r="B656" s="52"/>
      <c r="C656" s="52"/>
      <c r="D656" s="52"/>
      <c r="E656" s="107"/>
      <c r="F656" s="107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</row>
    <row r="657" spans="1:25" x14ac:dyDescent="0.3">
      <c r="A657" s="52"/>
      <c r="B657" s="52"/>
      <c r="C657" s="52"/>
      <c r="D657" s="52"/>
      <c r="E657" s="107"/>
      <c r="F657" s="107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</row>
    <row r="658" spans="1:25" x14ac:dyDescent="0.3">
      <c r="A658" s="52"/>
      <c r="B658" s="52"/>
      <c r="C658" s="52"/>
      <c r="D658" s="52"/>
      <c r="E658" s="107"/>
      <c r="F658" s="107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</row>
    <row r="659" spans="1:25" x14ac:dyDescent="0.3">
      <c r="A659" s="52"/>
      <c r="B659" s="52"/>
      <c r="C659" s="52"/>
      <c r="D659" s="52"/>
      <c r="E659" s="107"/>
      <c r="F659" s="107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</row>
    <row r="660" spans="1:25" x14ac:dyDescent="0.3">
      <c r="A660" s="52"/>
      <c r="B660" s="52"/>
      <c r="C660" s="52"/>
      <c r="D660" s="52"/>
      <c r="E660" s="107"/>
      <c r="F660" s="107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</row>
    <row r="661" spans="1:25" x14ac:dyDescent="0.3">
      <c r="A661" s="52"/>
      <c r="B661" s="52"/>
      <c r="C661" s="52"/>
      <c r="D661" s="52"/>
      <c r="E661" s="107"/>
      <c r="F661" s="107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</row>
    <row r="662" spans="1:25" x14ac:dyDescent="0.3">
      <c r="A662" s="52"/>
      <c r="B662" s="52"/>
      <c r="C662" s="52"/>
      <c r="D662" s="52"/>
      <c r="E662" s="107"/>
      <c r="F662" s="107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</row>
    <row r="663" spans="1:25" x14ac:dyDescent="0.3">
      <c r="A663" s="52"/>
      <c r="B663" s="52"/>
      <c r="C663" s="52"/>
      <c r="D663" s="52"/>
      <c r="E663" s="107"/>
      <c r="F663" s="107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</row>
    <row r="664" spans="1:25" x14ac:dyDescent="0.3">
      <c r="A664" s="52"/>
      <c r="B664" s="52"/>
      <c r="C664" s="52"/>
      <c r="D664" s="52"/>
      <c r="E664" s="107"/>
      <c r="F664" s="107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</row>
    <row r="665" spans="1:25" x14ac:dyDescent="0.3">
      <c r="A665" s="52"/>
      <c r="B665" s="52"/>
      <c r="C665" s="52"/>
      <c r="D665" s="52"/>
      <c r="E665" s="107"/>
      <c r="F665" s="107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</row>
    <row r="666" spans="1:25" x14ac:dyDescent="0.3">
      <c r="A666" s="52"/>
      <c r="B666" s="52"/>
      <c r="C666" s="52"/>
      <c r="D666" s="52"/>
      <c r="E666" s="107"/>
      <c r="F666" s="107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</row>
    <row r="667" spans="1:25" x14ac:dyDescent="0.3">
      <c r="A667" s="52"/>
      <c r="B667" s="52"/>
      <c r="C667" s="52"/>
      <c r="D667" s="52"/>
      <c r="E667" s="107"/>
      <c r="F667" s="107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</row>
    <row r="668" spans="1:25" x14ac:dyDescent="0.3">
      <c r="A668" s="52"/>
      <c r="B668" s="52"/>
      <c r="C668" s="52"/>
      <c r="D668" s="52"/>
      <c r="E668" s="107"/>
      <c r="F668" s="107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</row>
    <row r="669" spans="1:25" x14ac:dyDescent="0.3">
      <c r="A669" s="52"/>
      <c r="B669" s="52"/>
      <c r="C669" s="52"/>
      <c r="D669" s="52"/>
      <c r="E669" s="107"/>
      <c r="F669" s="107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</row>
    <row r="670" spans="1:25" x14ac:dyDescent="0.3">
      <c r="A670" s="52"/>
      <c r="B670" s="52"/>
      <c r="C670" s="52"/>
      <c r="D670" s="52"/>
      <c r="E670" s="107"/>
      <c r="F670" s="107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</row>
    <row r="671" spans="1:25" x14ac:dyDescent="0.3">
      <c r="A671" s="52"/>
      <c r="B671" s="52"/>
      <c r="C671" s="52"/>
      <c r="D671" s="52"/>
      <c r="E671" s="107"/>
      <c r="F671" s="107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</row>
    <row r="672" spans="1:25" x14ac:dyDescent="0.3">
      <c r="A672" s="52"/>
      <c r="B672" s="52"/>
      <c r="C672" s="52"/>
      <c r="D672" s="52"/>
      <c r="E672" s="107"/>
      <c r="F672" s="107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</row>
    <row r="673" spans="1:25" x14ac:dyDescent="0.3">
      <c r="A673" s="52"/>
      <c r="B673" s="52"/>
      <c r="C673" s="52"/>
      <c r="D673" s="52"/>
      <c r="E673" s="107"/>
      <c r="F673" s="107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</row>
    <row r="674" spans="1:25" x14ac:dyDescent="0.3">
      <c r="A674" s="52"/>
      <c r="B674" s="52"/>
      <c r="C674" s="52"/>
      <c r="D674" s="52"/>
      <c r="E674" s="107"/>
      <c r="F674" s="107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</row>
    <row r="675" spans="1:25" x14ac:dyDescent="0.3">
      <c r="A675" s="52"/>
      <c r="B675" s="52"/>
      <c r="C675" s="52"/>
      <c r="D675" s="52"/>
      <c r="E675" s="107"/>
      <c r="F675" s="107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</row>
    <row r="676" spans="1:25" x14ac:dyDescent="0.3">
      <c r="A676" s="52"/>
      <c r="B676" s="52"/>
      <c r="C676" s="52"/>
      <c r="D676" s="52"/>
      <c r="E676" s="107"/>
      <c r="F676" s="107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</row>
    <row r="677" spans="1:25" x14ac:dyDescent="0.3">
      <c r="A677" s="52"/>
      <c r="B677" s="52"/>
      <c r="C677" s="52"/>
      <c r="D677" s="52"/>
      <c r="E677" s="107"/>
      <c r="F677" s="107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</row>
    <row r="678" spans="1:25" x14ac:dyDescent="0.3">
      <c r="A678" s="52"/>
      <c r="B678" s="52"/>
      <c r="C678" s="52"/>
      <c r="D678" s="52"/>
      <c r="E678" s="107"/>
      <c r="F678" s="107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</row>
    <row r="679" spans="1:25" x14ac:dyDescent="0.3">
      <c r="A679" s="52"/>
      <c r="B679" s="52"/>
      <c r="C679" s="52"/>
      <c r="D679" s="52"/>
      <c r="E679" s="107"/>
      <c r="F679" s="107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</row>
    <row r="680" spans="1:25" x14ac:dyDescent="0.3">
      <c r="A680" s="52"/>
      <c r="B680" s="52"/>
      <c r="C680" s="52"/>
      <c r="D680" s="52"/>
      <c r="E680" s="107"/>
      <c r="F680" s="107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</row>
    <row r="681" spans="1:25" x14ac:dyDescent="0.3">
      <c r="A681" s="52"/>
      <c r="B681" s="52"/>
      <c r="C681" s="52"/>
      <c r="D681" s="52"/>
      <c r="E681" s="107"/>
      <c r="F681" s="107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</row>
    <row r="682" spans="1:25" x14ac:dyDescent="0.3">
      <c r="A682" s="52"/>
      <c r="B682" s="52"/>
      <c r="C682" s="52"/>
      <c r="D682" s="52"/>
      <c r="E682" s="107"/>
      <c r="F682" s="107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</row>
    <row r="683" spans="1:25" x14ac:dyDescent="0.3">
      <c r="A683" s="52"/>
      <c r="B683" s="52"/>
      <c r="C683" s="52"/>
      <c r="D683" s="52"/>
      <c r="E683" s="107"/>
      <c r="F683" s="107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</row>
    <row r="684" spans="1:25" x14ac:dyDescent="0.3">
      <c r="A684" s="52"/>
      <c r="B684" s="52"/>
      <c r="C684" s="52"/>
      <c r="D684" s="52"/>
      <c r="E684" s="107"/>
      <c r="F684" s="107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</row>
    <row r="685" spans="1:25" x14ac:dyDescent="0.3">
      <c r="A685" s="52"/>
      <c r="B685" s="52"/>
      <c r="C685" s="52"/>
      <c r="D685" s="52"/>
      <c r="E685" s="107"/>
      <c r="F685" s="107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</row>
    <row r="686" spans="1:25" x14ac:dyDescent="0.3">
      <c r="A686" s="52"/>
      <c r="B686" s="52"/>
      <c r="C686" s="52"/>
      <c r="D686" s="52"/>
      <c r="E686" s="107"/>
      <c r="F686" s="107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</row>
    <row r="687" spans="1:25" x14ac:dyDescent="0.3">
      <c r="A687" s="52"/>
      <c r="B687" s="52"/>
      <c r="C687" s="52"/>
      <c r="D687" s="52"/>
      <c r="E687" s="107"/>
      <c r="F687" s="107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</row>
    <row r="688" spans="1:25" x14ac:dyDescent="0.3">
      <c r="A688" s="52"/>
      <c r="B688" s="52"/>
      <c r="C688" s="52"/>
      <c r="D688" s="52"/>
      <c r="E688" s="107"/>
      <c r="F688" s="107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</row>
    <row r="689" spans="1:25" x14ac:dyDescent="0.3">
      <c r="A689" s="52"/>
      <c r="B689" s="52"/>
      <c r="C689" s="52"/>
      <c r="D689" s="52"/>
      <c r="E689" s="107"/>
      <c r="F689" s="107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</row>
    <row r="690" spans="1:25" x14ac:dyDescent="0.3">
      <c r="A690" s="52"/>
      <c r="B690" s="52"/>
      <c r="C690" s="52"/>
      <c r="D690" s="52"/>
      <c r="E690" s="107"/>
      <c r="F690" s="107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</row>
    <row r="691" spans="1:25" x14ac:dyDescent="0.3">
      <c r="A691" s="52"/>
      <c r="B691" s="52"/>
      <c r="C691" s="52"/>
      <c r="D691" s="52"/>
      <c r="E691" s="107"/>
      <c r="F691" s="107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</row>
    <row r="692" spans="1:25" x14ac:dyDescent="0.3">
      <c r="A692" s="52"/>
      <c r="B692" s="52"/>
      <c r="C692" s="52"/>
      <c r="D692" s="52"/>
      <c r="E692" s="107"/>
      <c r="F692" s="107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</row>
    <row r="693" spans="1:25" x14ac:dyDescent="0.3">
      <c r="A693" s="52"/>
      <c r="B693" s="52"/>
      <c r="C693" s="52"/>
      <c r="D693" s="52"/>
      <c r="E693" s="107"/>
      <c r="F693" s="107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</row>
    <row r="694" spans="1:25" x14ac:dyDescent="0.3">
      <c r="A694" s="52"/>
      <c r="B694" s="52"/>
      <c r="C694" s="52"/>
      <c r="D694" s="52"/>
      <c r="E694" s="107"/>
      <c r="F694" s="107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</row>
    <row r="695" spans="1:25" x14ac:dyDescent="0.3">
      <c r="A695" s="52"/>
      <c r="B695" s="52"/>
      <c r="C695" s="52"/>
      <c r="D695" s="52"/>
      <c r="E695" s="107"/>
      <c r="F695" s="107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</row>
    <row r="696" spans="1:25" x14ac:dyDescent="0.3">
      <c r="A696" s="52"/>
      <c r="B696" s="52"/>
      <c r="C696" s="52"/>
      <c r="D696" s="52"/>
      <c r="E696" s="107"/>
      <c r="F696" s="107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</row>
    <row r="697" spans="1:25" x14ac:dyDescent="0.3">
      <c r="A697" s="52"/>
      <c r="B697" s="52"/>
      <c r="C697" s="52"/>
      <c r="D697" s="52"/>
      <c r="E697" s="107"/>
      <c r="F697" s="107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</row>
    <row r="698" spans="1:25" x14ac:dyDescent="0.3">
      <c r="A698" s="52"/>
      <c r="B698" s="52"/>
      <c r="C698" s="52"/>
      <c r="D698" s="52"/>
      <c r="E698" s="107"/>
      <c r="F698" s="107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</row>
    <row r="699" spans="1:25" x14ac:dyDescent="0.3">
      <c r="A699" s="52"/>
      <c r="B699" s="52"/>
      <c r="C699" s="52"/>
      <c r="D699" s="52"/>
      <c r="E699" s="107"/>
      <c r="F699" s="107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</row>
    <row r="700" spans="1:25" x14ac:dyDescent="0.3">
      <c r="A700" s="52"/>
      <c r="B700" s="52"/>
      <c r="C700" s="52"/>
      <c r="D700" s="52"/>
      <c r="E700" s="107"/>
      <c r="F700" s="107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</row>
    <row r="701" spans="1:25" x14ac:dyDescent="0.3">
      <c r="A701" s="52"/>
      <c r="B701" s="52"/>
      <c r="C701" s="52"/>
      <c r="D701" s="52"/>
      <c r="E701" s="107"/>
      <c r="F701" s="107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</row>
    <row r="702" spans="1:25" x14ac:dyDescent="0.3">
      <c r="A702" s="52"/>
      <c r="B702" s="52"/>
      <c r="C702" s="52"/>
      <c r="D702" s="52"/>
      <c r="E702" s="107"/>
      <c r="F702" s="107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</row>
    <row r="703" spans="1:25" x14ac:dyDescent="0.3">
      <c r="A703" s="52"/>
      <c r="B703" s="52"/>
      <c r="C703" s="52"/>
      <c r="D703" s="52"/>
      <c r="E703" s="107"/>
      <c r="F703" s="107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</row>
    <row r="704" spans="1:25" x14ac:dyDescent="0.3">
      <c r="A704" s="52"/>
      <c r="B704" s="52"/>
      <c r="C704" s="52"/>
      <c r="D704" s="52"/>
      <c r="E704" s="107"/>
      <c r="F704" s="107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</row>
    <row r="705" spans="1:25" x14ac:dyDescent="0.3">
      <c r="A705" s="52"/>
      <c r="B705" s="52"/>
      <c r="C705" s="52"/>
      <c r="D705" s="52"/>
      <c r="E705" s="107"/>
      <c r="F705" s="107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</row>
    <row r="706" spans="1:25" x14ac:dyDescent="0.3">
      <c r="A706" s="52"/>
      <c r="B706" s="52"/>
      <c r="C706" s="52"/>
      <c r="D706" s="52"/>
      <c r="E706" s="107"/>
      <c r="F706" s="107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</row>
    <row r="707" spans="1:25" x14ac:dyDescent="0.3">
      <c r="A707" s="52"/>
      <c r="B707" s="52"/>
      <c r="C707" s="52"/>
      <c r="D707" s="52"/>
      <c r="E707" s="107"/>
      <c r="F707" s="107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</row>
    <row r="708" spans="1:25" x14ac:dyDescent="0.3">
      <c r="A708" s="52"/>
      <c r="B708" s="52"/>
      <c r="C708" s="52"/>
      <c r="D708" s="52"/>
      <c r="E708" s="107"/>
      <c r="F708" s="107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</row>
    <row r="709" spans="1:25" x14ac:dyDescent="0.3">
      <c r="A709" s="52"/>
      <c r="B709" s="52"/>
      <c r="C709" s="52"/>
      <c r="D709" s="52"/>
      <c r="E709" s="107"/>
      <c r="F709" s="107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</row>
    <row r="710" spans="1:25" x14ac:dyDescent="0.3">
      <c r="A710" s="52"/>
      <c r="B710" s="52"/>
      <c r="C710" s="52"/>
      <c r="D710" s="52"/>
      <c r="E710" s="107"/>
      <c r="F710" s="107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</row>
    <row r="711" spans="1:25" x14ac:dyDescent="0.3">
      <c r="A711" s="52"/>
      <c r="B711" s="52"/>
      <c r="C711" s="52"/>
      <c r="D711" s="52"/>
      <c r="E711" s="107"/>
      <c r="F711" s="107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</row>
    <row r="712" spans="1:25" x14ac:dyDescent="0.3">
      <c r="A712" s="52"/>
      <c r="B712" s="52"/>
      <c r="C712" s="52"/>
      <c r="D712" s="52"/>
      <c r="E712" s="107"/>
      <c r="F712" s="107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</row>
    <row r="713" spans="1:25" x14ac:dyDescent="0.3">
      <c r="A713" s="52"/>
      <c r="B713" s="52"/>
      <c r="C713" s="52"/>
      <c r="D713" s="52"/>
      <c r="E713" s="107"/>
      <c r="F713" s="107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</row>
    <row r="714" spans="1:25" x14ac:dyDescent="0.3">
      <c r="A714" s="52"/>
      <c r="B714" s="52"/>
      <c r="C714" s="52"/>
      <c r="D714" s="52"/>
      <c r="E714" s="107"/>
      <c r="F714" s="107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</row>
    <row r="715" spans="1:25" x14ac:dyDescent="0.3">
      <c r="A715" s="52"/>
      <c r="B715" s="52"/>
      <c r="C715" s="52"/>
      <c r="D715" s="52"/>
      <c r="E715" s="107"/>
      <c r="F715" s="107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</row>
    <row r="716" spans="1:25" x14ac:dyDescent="0.3">
      <c r="A716" s="52"/>
      <c r="B716" s="52"/>
      <c r="C716" s="52"/>
      <c r="D716" s="52"/>
      <c r="E716" s="107"/>
      <c r="F716" s="107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</row>
    <row r="717" spans="1:25" x14ac:dyDescent="0.3">
      <c r="A717" s="52"/>
      <c r="B717" s="52"/>
      <c r="C717" s="52"/>
      <c r="D717" s="52"/>
      <c r="E717" s="107"/>
      <c r="F717" s="107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</row>
    <row r="718" spans="1:25" x14ac:dyDescent="0.3">
      <c r="A718" s="52"/>
      <c r="B718" s="52"/>
      <c r="C718" s="52"/>
      <c r="D718" s="52"/>
      <c r="E718" s="107"/>
      <c r="F718" s="107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</row>
    <row r="719" spans="1:25" x14ac:dyDescent="0.3">
      <c r="A719" s="52"/>
      <c r="B719" s="52"/>
      <c r="C719" s="52"/>
      <c r="D719" s="52"/>
      <c r="E719" s="107"/>
      <c r="F719" s="107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</row>
    <row r="720" spans="1:25" x14ac:dyDescent="0.3">
      <c r="A720" s="52"/>
      <c r="B720" s="52"/>
      <c r="C720" s="52"/>
      <c r="D720" s="52"/>
      <c r="E720" s="107"/>
      <c r="F720" s="107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</row>
    <row r="721" spans="1:25" x14ac:dyDescent="0.3">
      <c r="A721" s="52"/>
      <c r="B721" s="52"/>
      <c r="C721" s="52"/>
      <c r="D721" s="52"/>
      <c r="E721" s="107"/>
      <c r="F721" s="107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</row>
    <row r="722" spans="1:25" x14ac:dyDescent="0.3">
      <c r="A722" s="52"/>
      <c r="B722" s="52"/>
      <c r="C722" s="52"/>
      <c r="D722" s="52"/>
      <c r="E722" s="107"/>
      <c r="F722" s="107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</row>
    <row r="723" spans="1:25" x14ac:dyDescent="0.3">
      <c r="A723" s="52"/>
      <c r="B723" s="52"/>
      <c r="C723" s="52"/>
      <c r="D723" s="52"/>
      <c r="E723" s="107"/>
      <c r="F723" s="107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</row>
    <row r="724" spans="1:25" x14ac:dyDescent="0.3">
      <c r="A724" s="52"/>
      <c r="B724" s="52"/>
      <c r="C724" s="52"/>
      <c r="D724" s="52"/>
      <c r="E724" s="107"/>
      <c r="F724" s="107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</row>
    <row r="725" spans="1:25" x14ac:dyDescent="0.3">
      <c r="A725" s="52"/>
      <c r="B725" s="52"/>
      <c r="C725" s="52"/>
      <c r="D725" s="52"/>
      <c r="E725" s="107"/>
      <c r="F725" s="107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</row>
    <row r="726" spans="1:25" x14ac:dyDescent="0.3">
      <c r="A726" s="52"/>
      <c r="B726" s="52"/>
      <c r="C726" s="52"/>
      <c r="D726" s="52"/>
      <c r="E726" s="107"/>
      <c r="F726" s="107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</row>
    <row r="727" spans="1:25" x14ac:dyDescent="0.3">
      <c r="A727" s="52"/>
      <c r="B727" s="52"/>
      <c r="C727" s="52"/>
      <c r="D727" s="52"/>
      <c r="E727" s="107"/>
      <c r="F727" s="107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</row>
    <row r="728" spans="1:25" x14ac:dyDescent="0.3">
      <c r="A728" s="52"/>
      <c r="B728" s="52"/>
      <c r="C728" s="52"/>
      <c r="D728" s="52"/>
      <c r="E728" s="107"/>
      <c r="F728" s="107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</row>
    <row r="729" spans="1:25" x14ac:dyDescent="0.3">
      <c r="A729" s="52"/>
      <c r="B729" s="52"/>
      <c r="C729" s="52"/>
      <c r="D729" s="52"/>
      <c r="E729" s="107"/>
      <c r="F729" s="107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</row>
    <row r="730" spans="1:25" x14ac:dyDescent="0.3">
      <c r="A730" s="52"/>
      <c r="B730" s="52"/>
      <c r="C730" s="52"/>
      <c r="D730" s="52"/>
      <c r="E730" s="107"/>
      <c r="F730" s="107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</row>
    <row r="731" spans="1:25" x14ac:dyDescent="0.3">
      <c r="A731" s="52"/>
      <c r="B731" s="52"/>
      <c r="C731" s="52"/>
      <c r="D731" s="52"/>
      <c r="E731" s="107"/>
      <c r="F731" s="107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</row>
    <row r="732" spans="1:25" x14ac:dyDescent="0.3">
      <c r="A732" s="52"/>
      <c r="B732" s="52"/>
      <c r="C732" s="52"/>
      <c r="D732" s="52"/>
      <c r="E732" s="107"/>
      <c r="F732" s="107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</row>
    <row r="733" spans="1:25" x14ac:dyDescent="0.3">
      <c r="A733" s="52"/>
      <c r="B733" s="52"/>
      <c r="C733" s="52"/>
      <c r="D733" s="52"/>
      <c r="E733" s="107"/>
      <c r="F733" s="107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</row>
    <row r="734" spans="1:25" x14ac:dyDescent="0.3">
      <c r="A734" s="52"/>
      <c r="B734" s="52"/>
      <c r="C734" s="52"/>
      <c r="D734" s="52"/>
      <c r="E734" s="107"/>
      <c r="F734" s="107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</row>
    <row r="735" spans="1:25" x14ac:dyDescent="0.3">
      <c r="A735" s="52"/>
      <c r="B735" s="52"/>
      <c r="C735" s="52"/>
      <c r="D735" s="52"/>
      <c r="E735" s="107"/>
      <c r="F735" s="107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</row>
    <row r="736" spans="1:25" x14ac:dyDescent="0.3">
      <c r="A736" s="52"/>
      <c r="B736" s="52"/>
      <c r="C736" s="52"/>
      <c r="D736" s="52"/>
      <c r="E736" s="107"/>
      <c r="F736" s="107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</row>
    <row r="737" spans="1:25" x14ac:dyDescent="0.3">
      <c r="A737" s="52"/>
      <c r="B737" s="52"/>
      <c r="C737" s="52"/>
      <c r="D737" s="52"/>
      <c r="E737" s="107"/>
      <c r="F737" s="107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</row>
    <row r="738" spans="1:25" x14ac:dyDescent="0.3">
      <c r="A738" s="52"/>
      <c r="B738" s="52"/>
      <c r="C738" s="52"/>
      <c r="D738" s="52"/>
      <c r="E738" s="107"/>
      <c r="F738" s="107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</row>
    <row r="739" spans="1:25" x14ac:dyDescent="0.3">
      <c r="A739" s="52"/>
      <c r="B739" s="52"/>
      <c r="C739" s="52"/>
      <c r="D739" s="52"/>
      <c r="E739" s="107"/>
      <c r="F739" s="107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</row>
    <row r="740" spans="1:25" x14ac:dyDescent="0.3">
      <c r="A740" s="52"/>
      <c r="B740" s="52"/>
      <c r="C740" s="52"/>
      <c r="D740" s="52"/>
      <c r="E740" s="107"/>
      <c r="F740" s="107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</row>
    <row r="741" spans="1:25" x14ac:dyDescent="0.3">
      <c r="A741" s="52"/>
      <c r="B741" s="52"/>
      <c r="C741" s="52"/>
      <c r="D741" s="52"/>
      <c r="E741" s="107"/>
      <c r="F741" s="107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</row>
    <row r="742" spans="1:25" x14ac:dyDescent="0.3">
      <c r="A742" s="52"/>
      <c r="B742" s="52"/>
      <c r="C742" s="52"/>
      <c r="D742" s="52"/>
      <c r="E742" s="107"/>
      <c r="F742" s="107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</row>
    <row r="743" spans="1:25" x14ac:dyDescent="0.3">
      <c r="A743" s="52"/>
      <c r="B743" s="52"/>
      <c r="C743" s="52"/>
      <c r="D743" s="52"/>
      <c r="E743" s="107"/>
      <c r="F743" s="107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</row>
    <row r="744" spans="1:25" x14ac:dyDescent="0.3">
      <c r="A744" s="52"/>
      <c r="B744" s="52"/>
      <c r="C744" s="52"/>
      <c r="D744" s="52"/>
      <c r="E744" s="107"/>
      <c r="F744" s="107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</row>
    <row r="745" spans="1:25" x14ac:dyDescent="0.3">
      <c r="A745" s="52"/>
      <c r="B745" s="52"/>
      <c r="C745" s="52"/>
      <c r="D745" s="52"/>
      <c r="E745" s="107"/>
      <c r="F745" s="107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</row>
    <row r="746" spans="1:25" x14ac:dyDescent="0.3">
      <c r="A746" s="52"/>
      <c r="B746" s="52"/>
      <c r="C746" s="52"/>
      <c r="D746" s="52"/>
      <c r="E746" s="107"/>
      <c r="F746" s="107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</row>
    <row r="747" spans="1:25" x14ac:dyDescent="0.3">
      <c r="A747" s="52"/>
      <c r="B747" s="52"/>
      <c r="C747" s="52"/>
      <c r="D747" s="52"/>
      <c r="E747" s="107"/>
      <c r="F747" s="107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</row>
    <row r="748" spans="1:25" x14ac:dyDescent="0.3">
      <c r="A748" s="52"/>
      <c r="B748" s="52"/>
      <c r="C748" s="52"/>
      <c r="D748" s="52"/>
      <c r="E748" s="107"/>
      <c r="F748" s="107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</row>
    <row r="749" spans="1:25" x14ac:dyDescent="0.3">
      <c r="A749" s="52"/>
      <c r="B749" s="52"/>
      <c r="C749" s="52"/>
      <c r="D749" s="52"/>
      <c r="E749" s="107"/>
      <c r="F749" s="107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</row>
    <row r="750" spans="1:25" x14ac:dyDescent="0.3">
      <c r="A750" s="52"/>
      <c r="B750" s="52"/>
      <c r="C750" s="52"/>
      <c r="D750" s="52"/>
      <c r="E750" s="107"/>
      <c r="F750" s="107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</row>
    <row r="751" spans="1:25" x14ac:dyDescent="0.3">
      <c r="A751" s="52"/>
      <c r="B751" s="52"/>
      <c r="C751" s="52"/>
      <c r="D751" s="52"/>
      <c r="E751" s="107"/>
      <c r="F751" s="107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</row>
    <row r="752" spans="1:25" x14ac:dyDescent="0.3">
      <c r="A752" s="52"/>
      <c r="B752" s="52"/>
      <c r="C752" s="52"/>
      <c r="D752" s="52"/>
      <c r="E752" s="107"/>
      <c r="F752" s="107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</row>
    <row r="753" spans="1:25" x14ac:dyDescent="0.3">
      <c r="A753" s="52"/>
      <c r="B753" s="52"/>
      <c r="C753" s="52"/>
      <c r="D753" s="52"/>
      <c r="E753" s="107"/>
      <c r="F753" s="107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</row>
    <row r="754" spans="1:25" x14ac:dyDescent="0.3">
      <c r="A754" s="52"/>
      <c r="B754" s="52"/>
      <c r="C754" s="52"/>
      <c r="D754" s="52"/>
      <c r="E754" s="107"/>
      <c r="F754" s="107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</row>
    <row r="755" spans="1:25" x14ac:dyDescent="0.3">
      <c r="A755" s="52"/>
      <c r="B755" s="52"/>
      <c r="C755" s="52"/>
      <c r="D755" s="52"/>
      <c r="E755" s="107"/>
      <c r="F755" s="107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</row>
    <row r="756" spans="1:25" x14ac:dyDescent="0.3">
      <c r="A756" s="52"/>
      <c r="B756" s="52"/>
      <c r="C756" s="52"/>
      <c r="D756" s="52"/>
      <c r="E756" s="107"/>
      <c r="F756" s="107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</row>
    <row r="757" spans="1:25" x14ac:dyDescent="0.3">
      <c r="A757" s="52"/>
      <c r="B757" s="52"/>
      <c r="C757" s="52"/>
      <c r="D757" s="52"/>
      <c r="E757" s="107"/>
      <c r="F757" s="107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</row>
    <row r="758" spans="1:25" x14ac:dyDescent="0.3">
      <c r="A758" s="52"/>
      <c r="B758" s="52"/>
      <c r="C758" s="52"/>
      <c r="D758" s="52"/>
      <c r="E758" s="107"/>
      <c r="F758" s="107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</row>
    <row r="759" spans="1:25" x14ac:dyDescent="0.3">
      <c r="A759" s="52"/>
      <c r="B759" s="52"/>
      <c r="C759" s="52"/>
      <c r="D759" s="52"/>
      <c r="E759" s="107"/>
      <c r="F759" s="107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</row>
    <row r="760" spans="1:25" x14ac:dyDescent="0.3">
      <c r="A760" s="52"/>
      <c r="B760" s="52"/>
      <c r="C760" s="52"/>
      <c r="D760" s="52"/>
      <c r="E760" s="107"/>
      <c r="F760" s="107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</row>
    <row r="761" spans="1:25" x14ac:dyDescent="0.3">
      <c r="A761" s="52"/>
      <c r="B761" s="52"/>
      <c r="C761" s="52"/>
      <c r="D761" s="52"/>
      <c r="E761" s="107"/>
      <c r="F761" s="107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</row>
    <row r="762" spans="1:25" x14ac:dyDescent="0.3">
      <c r="A762" s="52"/>
      <c r="B762" s="52"/>
      <c r="C762" s="52"/>
      <c r="D762" s="52"/>
      <c r="E762" s="107"/>
      <c r="F762" s="107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</row>
    <row r="763" spans="1:25" x14ac:dyDescent="0.3">
      <c r="A763" s="52"/>
      <c r="B763" s="52"/>
      <c r="C763" s="52"/>
      <c r="D763" s="52"/>
      <c r="E763" s="107"/>
      <c r="F763" s="107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</row>
    <row r="764" spans="1:25" x14ac:dyDescent="0.3">
      <c r="A764" s="52"/>
      <c r="B764" s="52"/>
      <c r="C764" s="52"/>
      <c r="D764" s="52"/>
      <c r="E764" s="107"/>
      <c r="F764" s="107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</row>
    <row r="765" spans="1:25" x14ac:dyDescent="0.3">
      <c r="A765" s="52"/>
      <c r="B765" s="52"/>
      <c r="C765" s="52"/>
      <c r="D765" s="52"/>
      <c r="E765" s="107"/>
      <c r="F765" s="107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</row>
    <row r="766" spans="1:25" x14ac:dyDescent="0.3">
      <c r="A766" s="52"/>
      <c r="B766" s="52"/>
      <c r="C766" s="52"/>
      <c r="D766" s="52"/>
      <c r="E766" s="107"/>
      <c r="F766" s="107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</row>
    <row r="767" spans="1:25" x14ac:dyDescent="0.3">
      <c r="A767" s="52"/>
      <c r="B767" s="52"/>
      <c r="C767" s="52"/>
      <c r="D767" s="52"/>
      <c r="E767" s="107"/>
      <c r="F767" s="107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</row>
    <row r="768" spans="1:25" x14ac:dyDescent="0.3">
      <c r="A768" s="52"/>
      <c r="B768" s="52"/>
      <c r="C768" s="52"/>
      <c r="D768" s="52"/>
      <c r="E768" s="107"/>
      <c r="F768" s="107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</row>
    <row r="769" spans="1:25" x14ac:dyDescent="0.3">
      <c r="A769" s="52"/>
      <c r="B769" s="52"/>
      <c r="C769" s="52"/>
      <c r="D769" s="52"/>
      <c r="E769" s="107"/>
      <c r="F769" s="107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</row>
    <row r="770" spans="1:25" x14ac:dyDescent="0.3">
      <c r="A770" s="52"/>
      <c r="B770" s="52"/>
      <c r="C770" s="52"/>
      <c r="D770" s="52"/>
      <c r="E770" s="107"/>
      <c r="F770" s="107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</row>
    <row r="771" spans="1:25" x14ac:dyDescent="0.3">
      <c r="A771" s="52"/>
      <c r="B771" s="52"/>
      <c r="C771" s="52"/>
      <c r="D771" s="52"/>
      <c r="E771" s="107"/>
      <c r="F771" s="107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</row>
    <row r="772" spans="1:25" x14ac:dyDescent="0.3">
      <c r="A772" s="52"/>
      <c r="B772" s="52"/>
      <c r="C772" s="52"/>
      <c r="D772" s="52"/>
      <c r="E772" s="107"/>
      <c r="F772" s="107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</row>
    <row r="773" spans="1:25" x14ac:dyDescent="0.3">
      <c r="A773" s="52"/>
      <c r="B773" s="52"/>
      <c r="C773" s="52"/>
      <c r="D773" s="52"/>
      <c r="E773" s="107"/>
      <c r="F773" s="107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</row>
    <row r="774" spans="1:25" x14ac:dyDescent="0.3">
      <c r="A774" s="52"/>
      <c r="B774" s="52"/>
      <c r="C774" s="52"/>
      <c r="D774" s="52"/>
      <c r="E774" s="107"/>
      <c r="F774" s="107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</row>
    <row r="775" spans="1:25" x14ac:dyDescent="0.3">
      <c r="A775" s="52"/>
      <c r="B775" s="52"/>
      <c r="C775" s="52"/>
      <c r="D775" s="52"/>
      <c r="E775" s="107"/>
      <c r="F775" s="107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</row>
    <row r="776" spans="1:25" x14ac:dyDescent="0.3">
      <c r="A776" s="52"/>
      <c r="B776" s="52"/>
      <c r="C776" s="52"/>
      <c r="D776" s="52"/>
      <c r="E776" s="107"/>
      <c r="F776" s="107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</row>
    <row r="777" spans="1:25" x14ac:dyDescent="0.3">
      <c r="A777" s="52"/>
      <c r="B777" s="52"/>
      <c r="C777" s="52"/>
      <c r="D777" s="52"/>
      <c r="E777" s="107"/>
      <c r="F777" s="107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</row>
    <row r="778" spans="1:25" x14ac:dyDescent="0.3">
      <c r="A778" s="52"/>
      <c r="B778" s="52"/>
      <c r="C778" s="52"/>
      <c r="D778" s="52"/>
      <c r="E778" s="107"/>
      <c r="F778" s="107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</row>
    <row r="779" spans="1:25" x14ac:dyDescent="0.3">
      <c r="A779" s="52"/>
      <c r="B779" s="52"/>
      <c r="C779" s="52"/>
      <c r="D779" s="52"/>
      <c r="E779" s="107"/>
      <c r="F779" s="107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</row>
    <row r="780" spans="1:25" x14ac:dyDescent="0.3">
      <c r="A780" s="52"/>
      <c r="B780" s="52"/>
      <c r="C780" s="52"/>
      <c r="D780" s="52"/>
      <c r="E780" s="107"/>
      <c r="F780" s="107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</row>
    <row r="781" spans="1:25" x14ac:dyDescent="0.3">
      <c r="A781" s="52"/>
      <c r="B781" s="52"/>
      <c r="C781" s="52"/>
      <c r="D781" s="52"/>
      <c r="E781" s="107"/>
      <c r="F781" s="107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</row>
    <row r="782" spans="1:25" x14ac:dyDescent="0.3">
      <c r="A782" s="52"/>
      <c r="B782" s="52"/>
      <c r="C782" s="52"/>
      <c r="D782" s="52"/>
      <c r="E782" s="107"/>
      <c r="F782" s="107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</row>
    <row r="783" spans="1:25" x14ac:dyDescent="0.3">
      <c r="A783" s="52"/>
      <c r="B783" s="52"/>
      <c r="C783" s="52"/>
      <c r="D783" s="52"/>
      <c r="E783" s="107"/>
      <c r="F783" s="107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</row>
    <row r="784" spans="1:25" x14ac:dyDescent="0.3">
      <c r="A784" s="52"/>
      <c r="B784" s="52"/>
      <c r="C784" s="52"/>
      <c r="D784" s="52"/>
      <c r="E784" s="107"/>
      <c r="F784" s="107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</row>
    <row r="785" spans="1:25" x14ac:dyDescent="0.3">
      <c r="A785" s="52"/>
      <c r="B785" s="52"/>
      <c r="C785" s="52"/>
      <c r="D785" s="52"/>
      <c r="E785" s="107"/>
      <c r="F785" s="107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</row>
    <row r="786" spans="1:25" x14ac:dyDescent="0.3">
      <c r="A786" s="52"/>
      <c r="B786" s="52"/>
      <c r="C786" s="52"/>
      <c r="D786" s="52"/>
      <c r="E786" s="107"/>
      <c r="F786" s="107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</row>
    <row r="787" spans="1:25" x14ac:dyDescent="0.3">
      <c r="A787" s="52"/>
      <c r="B787" s="52"/>
      <c r="C787" s="52"/>
      <c r="D787" s="52"/>
      <c r="E787" s="107"/>
      <c r="F787" s="107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</row>
    <row r="788" spans="1:25" x14ac:dyDescent="0.3">
      <c r="A788" s="52"/>
      <c r="B788" s="52"/>
      <c r="C788" s="52"/>
      <c r="D788" s="52"/>
      <c r="E788" s="107"/>
      <c r="F788" s="107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</row>
    <row r="789" spans="1:25" x14ac:dyDescent="0.3">
      <c r="A789" s="52"/>
      <c r="B789" s="52"/>
      <c r="C789" s="52"/>
      <c r="D789" s="52"/>
      <c r="E789" s="107"/>
      <c r="F789" s="107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</row>
    <row r="790" spans="1:25" x14ac:dyDescent="0.3">
      <c r="A790" s="52"/>
      <c r="B790" s="52"/>
      <c r="C790" s="52"/>
      <c r="D790" s="52"/>
      <c r="E790" s="107"/>
      <c r="F790" s="107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</row>
    <row r="791" spans="1:25" x14ac:dyDescent="0.3">
      <c r="A791" s="52"/>
      <c r="B791" s="52"/>
      <c r="C791" s="52"/>
      <c r="D791" s="52"/>
      <c r="E791" s="107"/>
      <c r="F791" s="107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</row>
    <row r="792" spans="1:25" x14ac:dyDescent="0.3">
      <c r="A792" s="52"/>
      <c r="B792" s="52"/>
      <c r="C792" s="52"/>
      <c r="D792" s="52"/>
      <c r="E792" s="107"/>
      <c r="F792" s="107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</row>
    <row r="793" spans="1:25" x14ac:dyDescent="0.3">
      <c r="A793" s="52"/>
      <c r="B793" s="52"/>
      <c r="C793" s="52"/>
      <c r="D793" s="52"/>
      <c r="E793" s="107"/>
      <c r="F793" s="107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</row>
    <row r="794" spans="1:25" x14ac:dyDescent="0.3">
      <c r="A794" s="52"/>
      <c r="B794" s="52"/>
      <c r="C794" s="52"/>
      <c r="D794" s="52"/>
      <c r="E794" s="107"/>
      <c r="F794" s="107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</row>
    <row r="795" spans="1:25" x14ac:dyDescent="0.3">
      <c r="A795" s="52"/>
      <c r="B795" s="52"/>
      <c r="C795" s="52"/>
      <c r="D795" s="52"/>
      <c r="E795" s="107"/>
      <c r="F795" s="107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</row>
    <row r="796" spans="1:25" x14ac:dyDescent="0.3">
      <c r="A796" s="52"/>
      <c r="B796" s="52"/>
      <c r="C796" s="52"/>
      <c r="D796" s="52"/>
      <c r="E796" s="107"/>
      <c r="F796" s="107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</row>
    <row r="797" spans="1:25" x14ac:dyDescent="0.3">
      <c r="A797" s="52"/>
      <c r="B797" s="52"/>
      <c r="C797" s="52"/>
      <c r="D797" s="52"/>
      <c r="E797" s="107"/>
      <c r="F797" s="107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</row>
    <row r="798" spans="1:25" x14ac:dyDescent="0.3">
      <c r="A798" s="52"/>
      <c r="B798" s="52"/>
      <c r="C798" s="52"/>
      <c r="D798" s="52"/>
      <c r="E798" s="107"/>
      <c r="F798" s="107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</row>
    <row r="799" spans="1:25" x14ac:dyDescent="0.3">
      <c r="A799" s="52"/>
      <c r="B799" s="52"/>
      <c r="C799" s="52"/>
      <c r="D799" s="52"/>
      <c r="E799" s="107"/>
      <c r="F799" s="107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</row>
    <row r="800" spans="1:25" x14ac:dyDescent="0.3">
      <c r="A800" s="52"/>
      <c r="B800" s="52"/>
      <c r="C800" s="52"/>
      <c r="D800" s="52"/>
      <c r="E800" s="107"/>
      <c r="F800" s="107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</row>
    <row r="801" spans="1:25" x14ac:dyDescent="0.3">
      <c r="A801" s="52"/>
      <c r="B801" s="52"/>
      <c r="C801" s="52"/>
      <c r="D801" s="52"/>
      <c r="E801" s="107"/>
      <c r="F801" s="107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</row>
    <row r="802" spans="1:25" x14ac:dyDescent="0.3">
      <c r="A802" s="52"/>
      <c r="B802" s="52"/>
      <c r="C802" s="52"/>
      <c r="D802" s="52"/>
      <c r="E802" s="107"/>
      <c r="F802" s="107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</row>
    <row r="803" spans="1:25" x14ac:dyDescent="0.3">
      <c r="A803" s="52"/>
      <c r="B803" s="52"/>
      <c r="C803" s="52"/>
      <c r="D803" s="52"/>
      <c r="E803" s="107"/>
      <c r="F803" s="107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</row>
    <row r="804" spans="1:25" x14ac:dyDescent="0.3">
      <c r="A804" s="52"/>
      <c r="B804" s="52"/>
      <c r="C804" s="52"/>
      <c r="D804" s="52"/>
      <c r="E804" s="107"/>
      <c r="F804" s="107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</row>
    <row r="805" spans="1:25" x14ac:dyDescent="0.3">
      <c r="A805" s="52"/>
      <c r="B805" s="52"/>
      <c r="C805" s="52"/>
      <c r="D805" s="52"/>
      <c r="E805" s="107"/>
      <c r="F805" s="107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</row>
    <row r="806" spans="1:25" x14ac:dyDescent="0.3">
      <c r="A806" s="52"/>
      <c r="B806" s="52"/>
      <c r="C806" s="52"/>
      <c r="D806" s="52"/>
      <c r="E806" s="107"/>
      <c r="F806" s="107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</row>
    <row r="807" spans="1:25" x14ac:dyDescent="0.3">
      <c r="A807" s="52"/>
      <c r="B807" s="52"/>
      <c r="C807" s="52"/>
      <c r="D807" s="52"/>
      <c r="E807" s="107"/>
      <c r="F807" s="107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</row>
    <row r="808" spans="1:25" x14ac:dyDescent="0.3">
      <c r="A808" s="52"/>
      <c r="B808" s="52"/>
      <c r="C808" s="52"/>
      <c r="D808" s="52"/>
      <c r="E808" s="107"/>
      <c r="F808" s="107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</row>
    <row r="809" spans="1:25" x14ac:dyDescent="0.3">
      <c r="A809" s="52"/>
      <c r="B809" s="52"/>
      <c r="C809" s="52"/>
      <c r="D809" s="52"/>
      <c r="E809" s="107"/>
      <c r="F809" s="107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</row>
    <row r="810" spans="1:25" x14ac:dyDescent="0.3">
      <c r="A810" s="52"/>
      <c r="B810" s="52"/>
      <c r="C810" s="52"/>
      <c r="D810" s="52"/>
      <c r="E810" s="107"/>
      <c r="F810" s="107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</row>
    <row r="811" spans="1:25" x14ac:dyDescent="0.3">
      <c r="A811" s="52"/>
      <c r="B811" s="52"/>
      <c r="C811" s="52"/>
      <c r="D811" s="52"/>
      <c r="E811" s="107"/>
      <c r="F811" s="107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</row>
    <row r="812" spans="1:25" x14ac:dyDescent="0.3">
      <c r="A812" s="52"/>
      <c r="B812" s="52"/>
      <c r="C812" s="52"/>
      <c r="D812" s="52"/>
      <c r="E812" s="107"/>
      <c r="F812" s="107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</row>
    <row r="813" spans="1:25" x14ac:dyDescent="0.3">
      <c r="A813" s="52"/>
      <c r="B813" s="52"/>
      <c r="C813" s="52"/>
      <c r="D813" s="52"/>
      <c r="E813" s="107"/>
      <c r="F813" s="107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</row>
    <row r="814" spans="1:25" x14ac:dyDescent="0.3">
      <c r="A814" s="52"/>
      <c r="B814" s="52"/>
      <c r="C814" s="52"/>
      <c r="D814" s="52"/>
      <c r="E814" s="107"/>
      <c r="F814" s="107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</row>
    <row r="815" spans="1:25" x14ac:dyDescent="0.3">
      <c r="A815" s="52"/>
      <c r="B815" s="52"/>
      <c r="C815" s="52"/>
      <c r="D815" s="52"/>
      <c r="E815" s="107"/>
      <c r="F815" s="107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</row>
    <row r="816" spans="1:25" x14ac:dyDescent="0.3">
      <c r="A816" s="52"/>
      <c r="B816" s="52"/>
      <c r="C816" s="52"/>
      <c r="D816" s="52"/>
      <c r="E816" s="107"/>
      <c r="F816" s="107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</row>
    <row r="817" spans="1:25" x14ac:dyDescent="0.3">
      <c r="A817" s="52"/>
      <c r="B817" s="52"/>
      <c r="C817" s="52"/>
      <c r="D817" s="52"/>
      <c r="E817" s="107"/>
      <c r="F817" s="107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</row>
    <row r="818" spans="1:25" x14ac:dyDescent="0.3">
      <c r="A818" s="52"/>
      <c r="B818" s="52"/>
      <c r="C818" s="52"/>
      <c r="D818" s="52"/>
      <c r="E818" s="107"/>
      <c r="F818" s="107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</row>
    <row r="819" spans="1:25" x14ac:dyDescent="0.3">
      <c r="A819" s="52"/>
      <c r="B819" s="52"/>
      <c r="C819" s="52"/>
      <c r="D819" s="52"/>
      <c r="E819" s="107"/>
      <c r="F819" s="107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</row>
    <row r="820" spans="1:25" x14ac:dyDescent="0.3">
      <c r="A820" s="52"/>
      <c r="B820" s="52"/>
      <c r="C820" s="52"/>
      <c r="D820" s="52"/>
      <c r="E820" s="107"/>
      <c r="F820" s="107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</row>
    <row r="821" spans="1:25" x14ac:dyDescent="0.3">
      <c r="A821" s="52"/>
      <c r="B821" s="52"/>
      <c r="C821" s="52"/>
      <c r="D821" s="52"/>
      <c r="E821" s="107"/>
      <c r="F821" s="107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</row>
    <row r="822" spans="1:25" x14ac:dyDescent="0.3">
      <c r="A822" s="52"/>
      <c r="B822" s="52"/>
      <c r="C822" s="52"/>
      <c r="D822" s="52"/>
      <c r="E822" s="107"/>
      <c r="F822" s="107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</row>
    <row r="823" spans="1:25" x14ac:dyDescent="0.3">
      <c r="A823" s="52"/>
      <c r="B823" s="52"/>
      <c r="C823" s="52"/>
      <c r="D823" s="52"/>
      <c r="E823" s="107"/>
      <c r="F823" s="107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</row>
    <row r="824" spans="1:25" x14ac:dyDescent="0.3">
      <c r="A824" s="52"/>
      <c r="B824" s="52"/>
      <c r="C824" s="52"/>
      <c r="D824" s="52"/>
      <c r="E824" s="107"/>
      <c r="F824" s="107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</row>
    <row r="825" spans="1:25" x14ac:dyDescent="0.3">
      <c r="A825" s="52"/>
      <c r="B825" s="52"/>
      <c r="C825" s="52"/>
      <c r="D825" s="52"/>
      <c r="E825" s="107"/>
      <c r="F825" s="107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</row>
    <row r="826" spans="1:25" x14ac:dyDescent="0.3">
      <c r="A826" s="52"/>
      <c r="B826" s="52"/>
      <c r="C826" s="52"/>
      <c r="D826" s="52"/>
      <c r="E826" s="107"/>
      <c r="F826" s="107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</row>
    <row r="827" spans="1:25" x14ac:dyDescent="0.3">
      <c r="A827" s="52"/>
      <c r="B827" s="52"/>
      <c r="C827" s="52"/>
      <c r="D827" s="52"/>
      <c r="E827" s="107"/>
      <c r="F827" s="107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</row>
    <row r="828" spans="1:25" x14ac:dyDescent="0.3">
      <c r="A828" s="52"/>
      <c r="B828" s="52"/>
      <c r="C828" s="52"/>
      <c r="D828" s="52"/>
      <c r="E828" s="107"/>
      <c r="F828" s="107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</row>
    <row r="829" spans="1:25" x14ac:dyDescent="0.3">
      <c r="A829" s="52"/>
      <c r="B829" s="52"/>
      <c r="C829" s="52"/>
      <c r="D829" s="52"/>
      <c r="E829" s="107"/>
      <c r="F829" s="107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</row>
    <row r="830" spans="1:25" x14ac:dyDescent="0.3">
      <c r="A830" s="52"/>
      <c r="B830" s="52"/>
      <c r="C830" s="52"/>
      <c r="D830" s="52"/>
      <c r="E830" s="107"/>
      <c r="F830" s="107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</row>
    <row r="831" spans="1:25" x14ac:dyDescent="0.3">
      <c r="A831" s="52"/>
      <c r="B831" s="52"/>
      <c r="C831" s="52"/>
      <c r="D831" s="52"/>
      <c r="E831" s="107"/>
      <c r="F831" s="107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</row>
    <row r="832" spans="1:25" x14ac:dyDescent="0.3">
      <c r="A832" s="52"/>
      <c r="B832" s="52"/>
      <c r="C832" s="52"/>
      <c r="D832" s="52"/>
      <c r="E832" s="107"/>
      <c r="F832" s="107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</row>
    <row r="833" spans="1:25" x14ac:dyDescent="0.3">
      <c r="A833" s="52"/>
      <c r="B833" s="52"/>
      <c r="C833" s="52"/>
      <c r="D833" s="52"/>
      <c r="E833" s="107"/>
      <c r="F833" s="107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</row>
    <row r="834" spans="1:25" x14ac:dyDescent="0.3">
      <c r="A834" s="52"/>
      <c r="B834" s="52"/>
      <c r="C834" s="52"/>
      <c r="D834" s="52"/>
      <c r="E834" s="107"/>
      <c r="F834" s="107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</row>
    <row r="835" spans="1:25" x14ac:dyDescent="0.3">
      <c r="A835" s="52"/>
      <c r="B835" s="52"/>
      <c r="C835" s="52"/>
      <c r="D835" s="52"/>
      <c r="E835" s="107"/>
      <c r="F835" s="107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</row>
    <row r="836" spans="1:25" x14ac:dyDescent="0.3">
      <c r="A836" s="52"/>
      <c r="B836" s="52"/>
      <c r="C836" s="52"/>
      <c r="D836" s="52"/>
      <c r="E836" s="107"/>
      <c r="F836" s="107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</row>
    <row r="837" spans="1:25" x14ac:dyDescent="0.3">
      <c r="A837" s="52"/>
      <c r="B837" s="52"/>
      <c r="C837" s="52"/>
      <c r="D837" s="52"/>
      <c r="E837" s="107"/>
      <c r="F837" s="107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</row>
    <row r="838" spans="1:25" x14ac:dyDescent="0.3">
      <c r="A838" s="52"/>
      <c r="B838" s="52"/>
      <c r="C838" s="52"/>
      <c r="D838" s="52"/>
      <c r="E838" s="107"/>
      <c r="F838" s="107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</row>
    <row r="839" spans="1:25" x14ac:dyDescent="0.3">
      <c r="A839" s="52"/>
      <c r="B839" s="52"/>
      <c r="C839" s="52"/>
      <c r="D839" s="52"/>
      <c r="E839" s="107"/>
      <c r="F839" s="107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</row>
    <row r="840" spans="1:25" x14ac:dyDescent="0.3">
      <c r="A840" s="52"/>
      <c r="B840" s="52"/>
      <c r="C840" s="52"/>
      <c r="D840" s="52"/>
      <c r="E840" s="107"/>
      <c r="F840" s="107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</row>
    <row r="841" spans="1:25" x14ac:dyDescent="0.3">
      <c r="A841" s="52"/>
      <c r="B841" s="52"/>
      <c r="C841" s="52"/>
      <c r="D841" s="52"/>
      <c r="E841" s="107"/>
      <c r="F841" s="107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</row>
    <row r="842" spans="1:25" x14ac:dyDescent="0.3">
      <c r="A842" s="52"/>
      <c r="B842" s="52"/>
      <c r="C842" s="52"/>
      <c r="D842" s="52"/>
      <c r="E842" s="107"/>
      <c r="F842" s="107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</row>
    <row r="843" spans="1:25" x14ac:dyDescent="0.3">
      <c r="A843" s="52"/>
      <c r="B843" s="52"/>
      <c r="C843" s="52"/>
      <c r="D843" s="52"/>
      <c r="E843" s="107"/>
      <c r="F843" s="107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</row>
    <row r="844" spans="1:25" x14ac:dyDescent="0.3">
      <c r="A844" s="52"/>
      <c r="B844" s="52"/>
      <c r="C844" s="52"/>
      <c r="D844" s="52"/>
      <c r="E844" s="107"/>
      <c r="F844" s="107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</row>
    <row r="845" spans="1:25" x14ac:dyDescent="0.3">
      <c r="A845" s="52"/>
      <c r="B845" s="52"/>
      <c r="C845" s="52"/>
      <c r="D845" s="52"/>
      <c r="E845" s="107"/>
      <c r="F845" s="107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</row>
    <row r="846" spans="1:25" x14ac:dyDescent="0.3">
      <c r="A846" s="52"/>
      <c r="B846" s="52"/>
      <c r="C846" s="52"/>
      <c r="D846" s="52"/>
      <c r="E846" s="107"/>
      <c r="F846" s="107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</row>
    <row r="847" spans="1:25" x14ac:dyDescent="0.3">
      <c r="A847" s="52"/>
      <c r="B847" s="52"/>
      <c r="C847" s="52"/>
      <c r="D847" s="52"/>
      <c r="E847" s="107"/>
      <c r="F847" s="107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</row>
    <row r="848" spans="1:25" x14ac:dyDescent="0.3">
      <c r="A848" s="52"/>
      <c r="B848" s="52"/>
      <c r="C848" s="52"/>
      <c r="D848" s="52"/>
      <c r="E848" s="107"/>
      <c r="F848" s="107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</row>
    <row r="849" spans="1:25" x14ac:dyDescent="0.3">
      <c r="A849" s="52"/>
      <c r="B849" s="52"/>
      <c r="C849" s="52"/>
      <c r="D849" s="52"/>
      <c r="E849" s="107"/>
      <c r="F849" s="107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</row>
    <row r="850" spans="1:25" x14ac:dyDescent="0.3">
      <c r="A850" s="52"/>
      <c r="B850" s="52"/>
      <c r="C850" s="52"/>
      <c r="D850" s="52"/>
      <c r="E850" s="107"/>
      <c r="F850" s="107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</row>
    <row r="851" spans="1:25" x14ac:dyDescent="0.3">
      <c r="A851" s="52"/>
      <c r="B851" s="52"/>
      <c r="C851" s="52"/>
      <c r="D851" s="52"/>
      <c r="E851" s="107"/>
      <c r="F851" s="107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</row>
    <row r="852" spans="1:25" x14ac:dyDescent="0.3">
      <c r="A852" s="52"/>
      <c r="B852" s="52"/>
      <c r="C852" s="52"/>
      <c r="D852" s="52"/>
      <c r="E852" s="107"/>
      <c r="F852" s="107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</row>
    <row r="853" spans="1:25" x14ac:dyDescent="0.3">
      <c r="A853" s="52"/>
      <c r="B853" s="52"/>
      <c r="C853" s="52"/>
      <c r="D853" s="52"/>
      <c r="E853" s="107"/>
      <c r="F853" s="107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</row>
    <row r="854" spans="1:25" x14ac:dyDescent="0.3">
      <c r="A854" s="52"/>
      <c r="B854" s="52"/>
      <c r="C854" s="52"/>
      <c r="D854" s="52"/>
      <c r="E854" s="107"/>
      <c r="F854" s="107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</row>
    <row r="855" spans="1:25" x14ac:dyDescent="0.3">
      <c r="A855" s="52"/>
      <c r="B855" s="52"/>
      <c r="C855" s="52"/>
      <c r="D855" s="52"/>
      <c r="E855" s="107"/>
      <c r="F855" s="107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</row>
    <row r="856" spans="1:25" x14ac:dyDescent="0.3">
      <c r="A856" s="52"/>
      <c r="B856" s="52"/>
      <c r="C856" s="52"/>
      <c r="D856" s="52"/>
      <c r="E856" s="107"/>
      <c r="F856" s="107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</row>
    <row r="857" spans="1:25" x14ac:dyDescent="0.3">
      <c r="A857" s="52"/>
      <c r="B857" s="52"/>
      <c r="C857" s="52"/>
      <c r="D857" s="52"/>
      <c r="E857" s="107"/>
      <c r="F857" s="107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</row>
    <row r="858" spans="1:25" x14ac:dyDescent="0.3">
      <c r="A858" s="52"/>
      <c r="B858" s="52"/>
      <c r="C858" s="52"/>
      <c r="D858" s="52"/>
      <c r="E858" s="107"/>
      <c r="F858" s="107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</row>
    <row r="859" spans="1:25" x14ac:dyDescent="0.3">
      <c r="A859" s="52"/>
      <c r="B859" s="52"/>
      <c r="C859" s="52"/>
      <c r="D859" s="52"/>
      <c r="E859" s="107"/>
      <c r="F859" s="107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</row>
    <row r="860" spans="1:25" x14ac:dyDescent="0.3">
      <c r="A860" s="52"/>
      <c r="B860" s="52"/>
      <c r="C860" s="52"/>
      <c r="D860" s="52"/>
      <c r="E860" s="107"/>
      <c r="F860" s="107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</row>
    <row r="861" spans="1:25" x14ac:dyDescent="0.3">
      <c r="A861" s="52"/>
      <c r="B861" s="52"/>
      <c r="C861" s="52"/>
      <c r="D861" s="52"/>
      <c r="E861" s="107"/>
      <c r="F861" s="107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</row>
    <row r="862" spans="1:25" x14ac:dyDescent="0.3">
      <c r="A862" s="52"/>
      <c r="B862" s="52"/>
      <c r="C862" s="52"/>
      <c r="D862" s="52"/>
      <c r="E862" s="107"/>
      <c r="F862" s="107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</row>
    <row r="863" spans="1:25" x14ac:dyDescent="0.3">
      <c r="A863" s="52"/>
      <c r="B863" s="52"/>
      <c r="C863" s="52"/>
      <c r="D863" s="52"/>
      <c r="E863" s="107"/>
      <c r="F863" s="107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</row>
    <row r="864" spans="1:25" x14ac:dyDescent="0.3">
      <c r="A864" s="52"/>
      <c r="B864" s="52"/>
      <c r="C864" s="52"/>
      <c r="D864" s="52"/>
      <c r="E864" s="107"/>
      <c r="F864" s="107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</row>
    <row r="865" spans="1:25" x14ac:dyDescent="0.3">
      <c r="A865" s="52"/>
      <c r="B865" s="52"/>
      <c r="C865" s="52"/>
      <c r="D865" s="52"/>
      <c r="E865" s="107"/>
      <c r="F865" s="107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</row>
    <row r="866" spans="1:25" x14ac:dyDescent="0.3">
      <c r="A866" s="52"/>
      <c r="B866" s="52"/>
      <c r="C866" s="52"/>
      <c r="D866" s="52"/>
      <c r="E866" s="107"/>
      <c r="F866" s="107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</row>
    <row r="867" spans="1:25" x14ac:dyDescent="0.3">
      <c r="A867" s="52"/>
      <c r="B867" s="52"/>
      <c r="C867" s="52"/>
      <c r="D867" s="52"/>
      <c r="E867" s="107"/>
      <c r="F867" s="107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</row>
    <row r="868" spans="1:25" x14ac:dyDescent="0.3">
      <c r="A868" s="52"/>
      <c r="B868" s="52"/>
      <c r="C868" s="52"/>
      <c r="D868" s="52"/>
      <c r="E868" s="107"/>
      <c r="F868" s="107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</row>
    <row r="869" spans="1:25" x14ac:dyDescent="0.3">
      <c r="A869" s="52"/>
      <c r="B869" s="52"/>
      <c r="C869" s="52"/>
      <c r="D869" s="52"/>
      <c r="E869" s="107"/>
      <c r="F869" s="107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</row>
    <row r="870" spans="1:25" x14ac:dyDescent="0.3">
      <c r="A870" s="52"/>
      <c r="B870" s="52"/>
      <c r="C870" s="52"/>
      <c r="D870" s="52"/>
      <c r="E870" s="107"/>
      <c r="F870" s="107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</row>
    <row r="871" spans="1:25" x14ac:dyDescent="0.3">
      <c r="A871" s="52"/>
      <c r="B871" s="52"/>
      <c r="C871" s="52"/>
      <c r="D871" s="52"/>
      <c r="E871" s="107"/>
      <c r="F871" s="107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</row>
    <row r="872" spans="1:25" x14ac:dyDescent="0.3">
      <c r="A872" s="52"/>
      <c r="B872" s="52"/>
      <c r="C872" s="52"/>
      <c r="D872" s="52"/>
      <c r="E872" s="107"/>
      <c r="F872" s="107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</row>
    <row r="873" spans="1:25" x14ac:dyDescent="0.3">
      <c r="A873" s="52"/>
      <c r="B873" s="52"/>
      <c r="C873" s="52"/>
      <c r="D873" s="52"/>
      <c r="E873" s="107"/>
      <c r="F873" s="107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</row>
    <row r="874" spans="1:25" x14ac:dyDescent="0.3">
      <c r="A874" s="52"/>
      <c r="B874" s="52"/>
      <c r="C874" s="52"/>
      <c r="D874" s="52"/>
      <c r="E874" s="107"/>
      <c r="F874" s="107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</row>
    <row r="875" spans="1:25" x14ac:dyDescent="0.3">
      <c r="A875" s="52"/>
      <c r="B875" s="52"/>
      <c r="C875" s="52"/>
      <c r="D875" s="52"/>
      <c r="E875" s="107"/>
      <c r="F875" s="107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</row>
    <row r="876" spans="1:25" x14ac:dyDescent="0.3">
      <c r="A876" s="52"/>
      <c r="B876" s="52"/>
      <c r="C876" s="52"/>
      <c r="D876" s="52"/>
      <c r="E876" s="107"/>
      <c r="F876" s="107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</row>
    <row r="877" spans="1:25" x14ac:dyDescent="0.3">
      <c r="A877" s="52"/>
      <c r="B877" s="52"/>
      <c r="C877" s="52"/>
      <c r="D877" s="52"/>
      <c r="E877" s="107"/>
      <c r="F877" s="107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</row>
    <row r="878" spans="1:25" x14ac:dyDescent="0.3">
      <c r="A878" s="52"/>
      <c r="B878" s="52"/>
      <c r="C878" s="52"/>
      <c r="D878" s="52"/>
      <c r="E878" s="107"/>
      <c r="F878" s="107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</row>
    <row r="879" spans="1:25" x14ac:dyDescent="0.3">
      <c r="A879" s="52"/>
      <c r="B879" s="52"/>
      <c r="C879" s="52"/>
      <c r="D879" s="52"/>
      <c r="E879" s="107"/>
      <c r="F879" s="107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</row>
    <row r="880" spans="1:25" x14ac:dyDescent="0.3">
      <c r="A880" s="52"/>
      <c r="B880" s="52"/>
      <c r="C880" s="52"/>
      <c r="D880" s="52"/>
      <c r="E880" s="107"/>
      <c r="F880" s="107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</row>
    <row r="881" spans="1:25" x14ac:dyDescent="0.3">
      <c r="A881" s="52"/>
      <c r="B881" s="52"/>
      <c r="C881" s="52"/>
      <c r="D881" s="52"/>
      <c r="E881" s="107"/>
      <c r="F881" s="107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</row>
    <row r="882" spans="1:25" x14ac:dyDescent="0.3">
      <c r="A882" s="52"/>
      <c r="B882" s="52"/>
      <c r="C882" s="52"/>
      <c r="D882" s="52"/>
      <c r="E882" s="107"/>
      <c r="F882" s="107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</row>
    <row r="883" spans="1:25" x14ac:dyDescent="0.3">
      <c r="A883" s="52"/>
      <c r="B883" s="52"/>
      <c r="C883" s="52"/>
      <c r="D883" s="52"/>
      <c r="E883" s="107"/>
      <c r="F883" s="107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</row>
    <row r="884" spans="1:25" x14ac:dyDescent="0.3">
      <c r="A884" s="52"/>
      <c r="B884" s="52"/>
      <c r="C884" s="52"/>
      <c r="D884" s="52"/>
      <c r="E884" s="107"/>
      <c r="F884" s="107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</row>
    <row r="885" spans="1:25" x14ac:dyDescent="0.3">
      <c r="A885" s="52"/>
      <c r="B885" s="52"/>
      <c r="C885" s="52"/>
      <c r="D885" s="52"/>
      <c r="E885" s="107"/>
      <c r="F885" s="107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</row>
    <row r="886" spans="1:25" x14ac:dyDescent="0.3">
      <c r="A886" s="52"/>
      <c r="B886" s="52"/>
      <c r="C886" s="52"/>
      <c r="D886" s="52"/>
      <c r="E886" s="107"/>
      <c r="F886" s="107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</row>
    <row r="887" spans="1:25" x14ac:dyDescent="0.3">
      <c r="A887" s="52"/>
      <c r="B887" s="52"/>
      <c r="C887" s="52"/>
      <c r="D887" s="52"/>
      <c r="E887" s="107"/>
      <c r="F887" s="107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</row>
    <row r="888" spans="1:25" x14ac:dyDescent="0.3">
      <c r="A888" s="52"/>
      <c r="B888" s="52"/>
      <c r="C888" s="52"/>
      <c r="D888" s="52"/>
      <c r="E888" s="107"/>
      <c r="F888" s="107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</row>
    <row r="889" spans="1:25" x14ac:dyDescent="0.3">
      <c r="A889" s="52"/>
      <c r="B889" s="52"/>
      <c r="C889" s="52"/>
      <c r="D889" s="52"/>
      <c r="E889" s="107"/>
      <c r="F889" s="107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</row>
    <row r="890" spans="1:25" x14ac:dyDescent="0.3">
      <c r="A890" s="52"/>
      <c r="B890" s="52"/>
      <c r="C890" s="52"/>
      <c r="D890" s="52"/>
      <c r="E890" s="107"/>
      <c r="F890" s="107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</row>
    <row r="891" spans="1:25" x14ac:dyDescent="0.3">
      <c r="A891" s="52"/>
      <c r="B891" s="52"/>
      <c r="C891" s="52"/>
      <c r="D891" s="52"/>
      <c r="E891" s="107"/>
      <c r="F891" s="107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</row>
    <row r="892" spans="1:25" x14ac:dyDescent="0.3">
      <c r="A892" s="52"/>
      <c r="B892" s="52"/>
      <c r="C892" s="52"/>
      <c r="D892" s="52"/>
      <c r="E892" s="107"/>
      <c r="F892" s="107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</row>
    <row r="893" spans="1:25" x14ac:dyDescent="0.3">
      <c r="A893" s="52"/>
      <c r="B893" s="52"/>
      <c r="C893" s="52"/>
      <c r="D893" s="52"/>
      <c r="E893" s="107"/>
      <c r="F893" s="107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</row>
    <row r="894" spans="1:25" x14ac:dyDescent="0.3">
      <c r="A894" s="52"/>
      <c r="B894" s="52"/>
      <c r="C894" s="52"/>
      <c r="D894" s="52"/>
      <c r="E894" s="107"/>
      <c r="F894" s="107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</row>
    <row r="895" spans="1:25" x14ac:dyDescent="0.3">
      <c r="A895" s="52"/>
      <c r="B895" s="52"/>
      <c r="C895" s="52"/>
      <c r="D895" s="52"/>
      <c r="E895" s="107"/>
      <c r="F895" s="107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</row>
    <row r="896" spans="1:25" x14ac:dyDescent="0.3">
      <c r="A896" s="52"/>
      <c r="B896" s="52"/>
      <c r="C896" s="52"/>
      <c r="D896" s="52"/>
      <c r="E896" s="107"/>
      <c r="F896" s="107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</row>
    <row r="897" spans="1:25" x14ac:dyDescent="0.3">
      <c r="A897" s="52"/>
      <c r="B897" s="52"/>
      <c r="C897" s="52"/>
      <c r="D897" s="52"/>
      <c r="E897" s="107"/>
      <c r="F897" s="107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</row>
    <row r="898" spans="1:25" x14ac:dyDescent="0.3">
      <c r="A898" s="52"/>
      <c r="B898" s="52"/>
      <c r="C898" s="52"/>
      <c r="D898" s="52"/>
      <c r="E898" s="107"/>
      <c r="F898" s="107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</row>
    <row r="899" spans="1:25" x14ac:dyDescent="0.3">
      <c r="A899" s="52"/>
      <c r="B899" s="52"/>
      <c r="C899" s="52"/>
      <c r="D899" s="52"/>
      <c r="E899" s="107"/>
      <c r="F899" s="107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</row>
    <row r="900" spans="1:25" x14ac:dyDescent="0.3">
      <c r="A900" s="52"/>
      <c r="B900" s="52"/>
      <c r="C900" s="52"/>
      <c r="D900" s="52"/>
      <c r="E900" s="107"/>
      <c r="F900" s="107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</row>
    <row r="901" spans="1:25" x14ac:dyDescent="0.3">
      <c r="A901" s="52"/>
      <c r="B901" s="52"/>
      <c r="C901" s="52"/>
      <c r="D901" s="52"/>
      <c r="E901" s="107"/>
      <c r="F901" s="107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</row>
    <row r="902" spans="1:25" x14ac:dyDescent="0.3">
      <c r="A902" s="52"/>
      <c r="B902" s="52"/>
      <c r="C902" s="52"/>
      <c r="D902" s="52"/>
      <c r="E902" s="107"/>
      <c r="F902" s="107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</row>
    <row r="903" spans="1:25" x14ac:dyDescent="0.3">
      <c r="A903" s="52"/>
      <c r="B903" s="52"/>
      <c r="C903" s="52"/>
      <c r="D903" s="52"/>
      <c r="E903" s="107"/>
      <c r="F903" s="107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</row>
    <row r="904" spans="1:25" x14ac:dyDescent="0.3">
      <c r="A904" s="52"/>
      <c r="B904" s="52"/>
      <c r="C904" s="52"/>
      <c r="D904" s="52"/>
      <c r="E904" s="107"/>
      <c r="F904" s="107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</row>
    <row r="905" spans="1:25" x14ac:dyDescent="0.3">
      <c r="A905" s="52"/>
      <c r="B905" s="52"/>
      <c r="C905" s="52"/>
      <c r="D905" s="52"/>
      <c r="E905" s="107"/>
      <c r="F905" s="107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</row>
    <row r="906" spans="1:25" x14ac:dyDescent="0.3">
      <c r="A906" s="52"/>
      <c r="B906" s="52"/>
      <c r="C906" s="52"/>
      <c r="D906" s="52"/>
      <c r="E906" s="107"/>
      <c r="F906" s="107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</row>
    <row r="907" spans="1:25" x14ac:dyDescent="0.3">
      <c r="A907" s="52"/>
      <c r="B907" s="52"/>
      <c r="C907" s="52"/>
      <c r="D907" s="52"/>
      <c r="E907" s="107"/>
      <c r="F907" s="107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</row>
    <row r="908" spans="1:25" x14ac:dyDescent="0.3">
      <c r="A908" s="52"/>
      <c r="B908" s="52"/>
      <c r="C908" s="52"/>
      <c r="D908" s="52"/>
      <c r="E908" s="107"/>
      <c r="F908" s="107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</row>
    <row r="909" spans="1:25" x14ac:dyDescent="0.3">
      <c r="A909" s="52"/>
      <c r="B909" s="52"/>
      <c r="C909" s="52"/>
      <c r="D909" s="52"/>
      <c r="E909" s="107"/>
      <c r="F909" s="107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</row>
    <row r="910" spans="1:25" x14ac:dyDescent="0.3">
      <c r="A910" s="52"/>
      <c r="B910" s="52"/>
      <c r="C910" s="52"/>
      <c r="D910" s="52"/>
      <c r="E910" s="107"/>
      <c r="F910" s="107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</row>
    <row r="911" spans="1:25" x14ac:dyDescent="0.3">
      <c r="A911" s="52"/>
      <c r="B911" s="52"/>
      <c r="C911" s="52"/>
      <c r="D911" s="52"/>
      <c r="E911" s="107"/>
      <c r="F911" s="107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</row>
    <row r="912" spans="1:25" x14ac:dyDescent="0.3">
      <c r="A912" s="52"/>
      <c r="B912" s="52"/>
      <c r="C912" s="52"/>
      <c r="D912" s="52"/>
      <c r="E912" s="107"/>
      <c r="F912" s="107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</row>
    <row r="913" spans="1:25" x14ac:dyDescent="0.3">
      <c r="A913" s="52"/>
      <c r="B913" s="52"/>
      <c r="C913" s="52"/>
      <c r="D913" s="52"/>
      <c r="E913" s="107"/>
      <c r="F913" s="107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</row>
    <row r="914" spans="1:25" x14ac:dyDescent="0.3">
      <c r="A914" s="52"/>
      <c r="B914" s="52"/>
      <c r="C914" s="52"/>
      <c r="D914" s="52"/>
      <c r="E914" s="107"/>
      <c r="F914" s="107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</row>
    <row r="915" spans="1:25" x14ac:dyDescent="0.3">
      <c r="A915" s="52"/>
      <c r="B915" s="52"/>
      <c r="C915" s="52"/>
      <c r="D915" s="52"/>
      <c r="E915" s="107"/>
      <c r="F915" s="107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</row>
    <row r="916" spans="1:25" x14ac:dyDescent="0.3">
      <c r="A916" s="52"/>
      <c r="B916" s="52"/>
      <c r="C916" s="52"/>
      <c r="D916" s="52"/>
      <c r="E916" s="107"/>
      <c r="F916" s="107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</row>
    <row r="917" spans="1:25" x14ac:dyDescent="0.3">
      <c r="A917" s="52"/>
      <c r="B917" s="52"/>
      <c r="C917" s="52"/>
      <c r="D917" s="52"/>
      <c r="E917" s="107"/>
      <c r="F917" s="107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</row>
    <row r="918" spans="1:25" x14ac:dyDescent="0.3">
      <c r="A918" s="52"/>
      <c r="B918" s="52"/>
      <c r="C918" s="52"/>
      <c r="D918" s="52"/>
      <c r="E918" s="107"/>
      <c r="F918" s="107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</row>
    <row r="919" spans="1:25" x14ac:dyDescent="0.3">
      <c r="A919" s="52"/>
      <c r="B919" s="52"/>
      <c r="C919" s="52"/>
      <c r="D919" s="52"/>
      <c r="E919" s="107"/>
      <c r="F919" s="107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</row>
    <row r="920" spans="1:25" x14ac:dyDescent="0.3">
      <c r="A920" s="52"/>
      <c r="B920" s="52"/>
      <c r="C920" s="52"/>
      <c r="D920" s="52"/>
      <c r="E920" s="107"/>
      <c r="F920" s="107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</row>
    <row r="921" spans="1:25" x14ac:dyDescent="0.3">
      <c r="A921" s="52"/>
      <c r="B921" s="52"/>
      <c r="C921" s="52"/>
      <c r="D921" s="52"/>
      <c r="E921" s="107"/>
      <c r="F921" s="107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</row>
    <row r="922" spans="1:25" x14ac:dyDescent="0.3">
      <c r="A922" s="52"/>
      <c r="B922" s="52"/>
      <c r="C922" s="52"/>
      <c r="D922" s="52"/>
      <c r="E922" s="107"/>
      <c r="F922" s="107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</row>
    <row r="923" spans="1:25" x14ac:dyDescent="0.3">
      <c r="A923" s="52"/>
      <c r="B923" s="52"/>
      <c r="C923" s="52"/>
      <c r="D923" s="52"/>
      <c r="E923" s="107"/>
      <c r="F923" s="107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</row>
    <row r="924" spans="1:25" x14ac:dyDescent="0.3">
      <c r="A924" s="52"/>
      <c r="B924" s="52"/>
      <c r="C924" s="52"/>
      <c r="D924" s="52"/>
      <c r="E924" s="107"/>
      <c r="F924" s="107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</row>
    <row r="925" spans="1:25" x14ac:dyDescent="0.3">
      <c r="A925" s="52"/>
      <c r="B925" s="52"/>
      <c r="C925" s="52"/>
      <c r="D925" s="52"/>
      <c r="E925" s="107"/>
      <c r="F925" s="107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</row>
    <row r="926" spans="1:25" x14ac:dyDescent="0.3">
      <c r="A926" s="52"/>
      <c r="B926" s="52"/>
      <c r="C926" s="52"/>
      <c r="D926" s="52"/>
      <c r="E926" s="107"/>
      <c r="F926" s="107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</row>
    <row r="927" spans="1:25" x14ac:dyDescent="0.3">
      <c r="A927" s="52"/>
      <c r="B927" s="52"/>
      <c r="C927" s="52"/>
      <c r="D927" s="52"/>
      <c r="E927" s="107"/>
      <c r="F927" s="107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</row>
    <row r="928" spans="1:25" x14ac:dyDescent="0.3">
      <c r="A928" s="52"/>
      <c r="B928" s="52"/>
      <c r="C928" s="52"/>
      <c r="D928" s="52"/>
      <c r="E928" s="107"/>
      <c r="F928" s="107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</row>
    <row r="929" spans="1:25" x14ac:dyDescent="0.3">
      <c r="A929" s="52"/>
      <c r="B929" s="52"/>
      <c r="C929" s="52"/>
      <c r="D929" s="52"/>
      <c r="E929" s="107"/>
      <c r="F929" s="107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</row>
    <row r="930" spans="1:25" x14ac:dyDescent="0.3">
      <c r="A930" s="52"/>
      <c r="B930" s="52"/>
      <c r="C930" s="52"/>
      <c r="D930" s="52"/>
      <c r="E930" s="107"/>
      <c r="F930" s="107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</row>
    <row r="931" spans="1:25" x14ac:dyDescent="0.3">
      <c r="A931" s="52"/>
      <c r="B931" s="52"/>
      <c r="C931" s="52"/>
      <c r="D931" s="52"/>
      <c r="E931" s="107"/>
      <c r="F931" s="107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</row>
    <row r="932" spans="1:25" x14ac:dyDescent="0.3">
      <c r="A932" s="52"/>
      <c r="B932" s="52"/>
      <c r="C932" s="52"/>
      <c r="D932" s="52"/>
      <c r="E932" s="107"/>
      <c r="F932" s="107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</row>
    <row r="933" spans="1:25" x14ac:dyDescent="0.3">
      <c r="A933" s="52"/>
      <c r="B933" s="52"/>
      <c r="C933" s="52"/>
      <c r="D933" s="52"/>
      <c r="E933" s="107"/>
      <c r="F933" s="107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</row>
    <row r="934" spans="1:25" x14ac:dyDescent="0.3">
      <c r="A934" s="52"/>
      <c r="B934" s="52"/>
      <c r="C934" s="52"/>
      <c r="D934" s="52"/>
      <c r="E934" s="107"/>
      <c r="F934" s="107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</row>
    <row r="935" spans="1:25" x14ac:dyDescent="0.3">
      <c r="A935" s="52"/>
      <c r="B935" s="52"/>
      <c r="C935" s="52"/>
      <c r="D935" s="52"/>
      <c r="E935" s="107"/>
      <c r="F935" s="107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</row>
    <row r="936" spans="1:25" x14ac:dyDescent="0.3">
      <c r="A936" s="52"/>
      <c r="B936" s="52"/>
      <c r="C936" s="52"/>
      <c r="D936" s="52"/>
      <c r="E936" s="107"/>
      <c r="F936" s="107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</row>
    <row r="937" spans="1:25" x14ac:dyDescent="0.3">
      <c r="A937" s="52"/>
      <c r="B937" s="52"/>
      <c r="C937" s="52"/>
      <c r="D937" s="52"/>
      <c r="E937" s="107"/>
      <c r="F937" s="107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</row>
    <row r="938" spans="1:25" x14ac:dyDescent="0.3">
      <c r="A938" s="52"/>
      <c r="B938" s="52"/>
      <c r="C938" s="52"/>
      <c r="D938" s="52"/>
      <c r="E938" s="107"/>
      <c r="F938" s="107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</row>
    <row r="939" spans="1:25" x14ac:dyDescent="0.3">
      <c r="A939" s="52"/>
      <c r="B939" s="52"/>
      <c r="C939" s="52"/>
      <c r="D939" s="52"/>
      <c r="E939" s="107"/>
      <c r="F939" s="107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</row>
    <row r="940" spans="1:25" x14ac:dyDescent="0.3">
      <c r="A940" s="52"/>
      <c r="B940" s="52"/>
      <c r="C940" s="52"/>
      <c r="D940" s="52"/>
      <c r="E940" s="107"/>
      <c r="F940" s="107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</row>
    <row r="941" spans="1:25" x14ac:dyDescent="0.3">
      <c r="A941" s="52"/>
      <c r="B941" s="52"/>
      <c r="C941" s="52"/>
      <c r="D941" s="52"/>
      <c r="E941" s="107"/>
      <c r="F941" s="107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</row>
    <row r="942" spans="1:25" x14ac:dyDescent="0.3">
      <c r="A942" s="52"/>
      <c r="B942" s="52"/>
      <c r="C942" s="52"/>
      <c r="D942" s="52"/>
      <c r="E942" s="107"/>
      <c r="F942" s="107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</row>
    <row r="943" spans="1:25" x14ac:dyDescent="0.3">
      <c r="A943" s="52"/>
      <c r="B943" s="52"/>
      <c r="C943" s="52"/>
      <c r="D943" s="52"/>
      <c r="E943" s="107"/>
      <c r="F943" s="107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</row>
    <row r="944" spans="1:25" x14ac:dyDescent="0.3">
      <c r="A944" s="52"/>
      <c r="B944" s="52"/>
      <c r="C944" s="52"/>
      <c r="D944" s="52"/>
      <c r="E944" s="107"/>
      <c r="F944" s="107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</row>
    <row r="945" spans="1:6" x14ac:dyDescent="0.3">
      <c r="A945" s="52"/>
      <c r="B945" s="52"/>
      <c r="C945" s="52"/>
      <c r="D945" s="52"/>
      <c r="E945" s="107"/>
      <c r="F945" s="107"/>
    </row>
    <row r="946" spans="1:6" x14ac:dyDescent="0.3">
      <c r="A946" s="52"/>
      <c r="B946" s="52"/>
      <c r="C946" s="52"/>
      <c r="D946" s="52"/>
      <c r="E946" s="107"/>
      <c r="F946" s="107"/>
    </row>
    <row r="947" spans="1:6" x14ac:dyDescent="0.3">
      <c r="A947" s="52"/>
      <c r="B947" s="52"/>
      <c r="C947" s="52"/>
      <c r="D947" s="52"/>
      <c r="E947" s="107"/>
      <c r="F947" s="107"/>
    </row>
    <row r="948" spans="1:6" x14ac:dyDescent="0.3">
      <c r="A948" s="52"/>
      <c r="B948" s="52"/>
      <c r="C948" s="52"/>
      <c r="D948" s="52"/>
      <c r="E948" s="107"/>
      <c r="F948" s="107"/>
    </row>
    <row r="949" spans="1:6" x14ac:dyDescent="0.3">
      <c r="A949" s="52"/>
      <c r="B949" s="52"/>
      <c r="C949" s="52"/>
      <c r="D949" s="52"/>
      <c r="E949" s="107"/>
      <c r="F949" s="107"/>
    </row>
    <row r="950" spans="1:6" x14ac:dyDescent="0.3">
      <c r="A950" s="52"/>
      <c r="B950" s="52"/>
      <c r="C950" s="52"/>
      <c r="D950" s="52"/>
      <c r="E950" s="107"/>
      <c r="F950" s="107"/>
    </row>
    <row r="951" spans="1:6" x14ac:dyDescent="0.3">
      <c r="A951" s="52"/>
      <c r="B951" s="52"/>
      <c r="C951" s="52"/>
      <c r="D951" s="52"/>
      <c r="E951" s="107"/>
      <c r="F951" s="107"/>
    </row>
    <row r="952" spans="1:6" x14ac:dyDescent="0.3">
      <c r="A952" s="52"/>
      <c r="B952" s="52"/>
      <c r="C952" s="52"/>
      <c r="D952" s="52"/>
      <c r="E952" s="107"/>
      <c r="F952" s="107"/>
    </row>
    <row r="953" spans="1:6" x14ac:dyDescent="0.3">
      <c r="A953" s="52"/>
      <c r="B953" s="52"/>
      <c r="C953" s="52"/>
      <c r="D953" s="52"/>
      <c r="E953" s="107"/>
      <c r="F953" s="107"/>
    </row>
    <row r="954" spans="1:6" x14ac:dyDescent="0.3">
      <c r="A954" s="52"/>
      <c r="B954" s="52"/>
      <c r="C954" s="52"/>
      <c r="D954" s="52"/>
      <c r="E954" s="107"/>
      <c r="F954" s="107"/>
    </row>
  </sheetData>
  <autoFilter ref="A11:Y19" xr:uid="{00000000-0009-0000-0000-000000000000}">
    <filterColumn colId="0" showButton="0"/>
    <filterColumn colId="1" showButton="0"/>
    <filterColumn colId="2" showButton="0"/>
  </autoFilter>
  <mergeCells count="11">
    <mergeCell ref="A26:C26"/>
    <mergeCell ref="A28:B28"/>
    <mergeCell ref="A29:B29"/>
    <mergeCell ref="A30:B30"/>
    <mergeCell ref="A32:D32"/>
    <mergeCell ref="A20:D20"/>
    <mergeCell ref="C2:D2"/>
    <mergeCell ref="E2:F2"/>
    <mergeCell ref="A11:D11"/>
    <mergeCell ref="A12:D12"/>
    <mergeCell ref="A18:C18"/>
  </mergeCells>
  <pageMargins left="0.25" right="0.25" top="0.75" bottom="0.75" header="0" footer="0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A43A-FEB1-4E40-A794-96851E691992}">
  <dimension ref="A2:K261"/>
  <sheetViews>
    <sheetView zoomScale="70" zoomScaleNormal="70" workbookViewId="0">
      <selection activeCell="D107" sqref="D107"/>
    </sheetView>
  </sheetViews>
  <sheetFormatPr baseColWidth="10" defaultRowHeight="15.75" x14ac:dyDescent="0.25"/>
  <cols>
    <col min="1" max="1" width="6.85546875" style="31" bestFit="1" customWidth="1"/>
    <col min="2" max="2" width="67" style="12" customWidth="1"/>
    <col min="3" max="4" width="18.28515625" style="12" customWidth="1"/>
    <col min="5" max="5" width="18.28515625" style="13" customWidth="1"/>
    <col min="6" max="6" width="22.5703125" style="36" bestFit="1" customWidth="1"/>
    <col min="7" max="7" width="18.28515625" style="36" customWidth="1"/>
    <col min="8" max="9" width="18.28515625" style="12" customWidth="1"/>
    <col min="10" max="10" width="11.42578125" style="12"/>
    <col min="11" max="11" width="18.5703125" style="12" bestFit="1" customWidth="1"/>
    <col min="12" max="16384" width="11.42578125" style="12"/>
  </cols>
  <sheetData>
    <row r="2" spans="2:9" x14ac:dyDescent="0.25">
      <c r="B2" s="7" t="s">
        <v>0</v>
      </c>
      <c r="C2" s="8" t="s">
        <v>17</v>
      </c>
      <c r="D2" s="7" t="s">
        <v>18</v>
      </c>
      <c r="E2" s="32"/>
      <c r="F2" s="37" t="s">
        <v>19</v>
      </c>
      <c r="G2" s="37"/>
      <c r="H2" s="34" t="s">
        <v>20</v>
      </c>
      <c r="I2" s="7" t="s">
        <v>21</v>
      </c>
    </row>
    <row r="3" spans="2:9" x14ac:dyDescent="0.25">
      <c r="B3" s="5" t="s">
        <v>22</v>
      </c>
      <c r="C3" s="6">
        <f>285000/1.19</f>
        <v>239495.79831932773</v>
      </c>
      <c r="D3" s="5">
        <v>1.83</v>
      </c>
      <c r="E3" s="33"/>
      <c r="F3" s="38">
        <v>2.44</v>
      </c>
      <c r="G3" s="38"/>
      <c r="H3" s="35">
        <f t="shared" ref="H3:H12" si="0">+F3*D3</f>
        <v>4.4652000000000003</v>
      </c>
      <c r="I3" s="9">
        <f t="shared" ref="I3:I12" si="1">+C3/H3</f>
        <v>53636.074155542352</v>
      </c>
    </row>
    <row r="4" spans="2:9" x14ac:dyDescent="0.25">
      <c r="B4" s="5" t="s">
        <v>23</v>
      </c>
      <c r="C4" s="6">
        <f>215000/1.19</f>
        <v>180672.26890756303</v>
      </c>
      <c r="D4" s="5">
        <v>1.83</v>
      </c>
      <c r="E4" s="33"/>
      <c r="F4" s="38">
        <v>2.44</v>
      </c>
      <c r="G4" s="38"/>
      <c r="H4" s="35">
        <f t="shared" si="0"/>
        <v>4.4652000000000003</v>
      </c>
      <c r="I4" s="9">
        <f t="shared" si="1"/>
        <v>40462.301555935461</v>
      </c>
    </row>
    <row r="5" spans="2:9" x14ac:dyDescent="0.25">
      <c r="B5" s="5" t="s">
        <v>36</v>
      </c>
      <c r="C5" s="6">
        <f>247502/1.19</f>
        <v>207984.87394957984</v>
      </c>
      <c r="D5" s="5">
        <v>1.83</v>
      </c>
      <c r="E5" s="33"/>
      <c r="F5" s="38">
        <v>2.5</v>
      </c>
      <c r="G5" s="38"/>
      <c r="H5" s="35">
        <f t="shared" si="0"/>
        <v>4.5750000000000002</v>
      </c>
      <c r="I5" s="9">
        <f t="shared" si="1"/>
        <v>45461.174633787938</v>
      </c>
    </row>
    <row r="6" spans="2:9" x14ac:dyDescent="0.25">
      <c r="B6" s="5" t="s">
        <v>37</v>
      </c>
      <c r="C6" s="6">
        <f>310000/1.19</f>
        <v>260504.20168067227</v>
      </c>
      <c r="D6" s="5">
        <v>1.83</v>
      </c>
      <c r="E6" s="33"/>
      <c r="F6" s="38">
        <v>2.5</v>
      </c>
      <c r="G6" s="38"/>
      <c r="H6" s="35">
        <f t="shared" si="0"/>
        <v>4.5750000000000002</v>
      </c>
      <c r="I6" s="9">
        <f t="shared" si="1"/>
        <v>56940.809110529452</v>
      </c>
    </row>
    <row r="7" spans="2:9" x14ac:dyDescent="0.25">
      <c r="B7" s="5" t="s">
        <v>24</v>
      </c>
      <c r="C7" s="6">
        <f>174708/1.19</f>
        <v>146813.44537815126</v>
      </c>
      <c r="D7" s="5">
        <v>1.83</v>
      </c>
      <c r="E7" s="33"/>
      <c r="F7" s="38">
        <v>2.5</v>
      </c>
      <c r="G7" s="38"/>
      <c r="H7" s="35">
        <f t="shared" si="0"/>
        <v>4.5750000000000002</v>
      </c>
      <c r="I7" s="9">
        <f t="shared" si="1"/>
        <v>32090.370574459288</v>
      </c>
    </row>
    <row r="8" spans="2:9" x14ac:dyDescent="0.25">
      <c r="B8" s="5" t="s">
        <v>25</v>
      </c>
      <c r="C8" s="6">
        <v>255910</v>
      </c>
      <c r="D8" s="5">
        <v>1.22</v>
      </c>
      <c r="E8" s="33"/>
      <c r="F8" s="38">
        <v>2.44</v>
      </c>
      <c r="G8" s="38"/>
      <c r="H8" s="35">
        <f t="shared" si="0"/>
        <v>2.9767999999999999</v>
      </c>
      <c r="I8" s="9">
        <f t="shared" si="1"/>
        <v>85968.153722117713</v>
      </c>
    </row>
    <row r="9" spans="2:9" x14ac:dyDescent="0.25">
      <c r="B9" s="5" t="s">
        <v>26</v>
      </c>
      <c r="C9" s="6">
        <v>240910</v>
      </c>
      <c r="D9" s="5">
        <v>1.22</v>
      </c>
      <c r="E9" s="33"/>
      <c r="F9" s="38">
        <v>2.44</v>
      </c>
      <c r="G9" s="38"/>
      <c r="H9" s="35">
        <f t="shared" si="0"/>
        <v>2.9767999999999999</v>
      </c>
      <c r="I9" s="9">
        <f t="shared" si="1"/>
        <v>80929.185702768082</v>
      </c>
    </row>
    <row r="10" spans="2:9" x14ac:dyDescent="0.25">
      <c r="B10" s="5" t="s">
        <v>27</v>
      </c>
      <c r="C10" s="6">
        <v>301540</v>
      </c>
      <c r="D10" s="5">
        <v>3.06</v>
      </c>
      <c r="E10" s="33"/>
      <c r="F10" s="38">
        <v>1.22</v>
      </c>
      <c r="G10" s="38"/>
      <c r="H10" s="35">
        <f t="shared" si="0"/>
        <v>3.7332000000000001</v>
      </c>
      <c r="I10" s="9">
        <f t="shared" si="1"/>
        <v>80772.527590271086</v>
      </c>
    </row>
    <row r="11" spans="2:9" x14ac:dyDescent="0.25">
      <c r="B11" s="5" t="s">
        <v>28</v>
      </c>
      <c r="C11" s="6">
        <v>174190</v>
      </c>
      <c r="D11" s="5">
        <v>1.22</v>
      </c>
      <c r="E11" s="33"/>
      <c r="F11" s="38">
        <v>3.06</v>
      </c>
      <c r="G11" s="38"/>
      <c r="H11" s="35">
        <f>+F11*D11</f>
        <v>3.7332000000000001</v>
      </c>
      <c r="I11" s="9">
        <f t="shared" si="1"/>
        <v>46659.702132219005</v>
      </c>
    </row>
    <row r="12" spans="2:9" x14ac:dyDescent="0.25">
      <c r="B12" s="5" t="s">
        <v>29</v>
      </c>
      <c r="C12" s="6">
        <f>159948/1.19</f>
        <v>134410.08403361344</v>
      </c>
      <c r="D12" s="5">
        <v>1.83</v>
      </c>
      <c r="E12" s="33"/>
      <c r="F12" s="38">
        <v>2.44</v>
      </c>
      <c r="G12" s="38"/>
      <c r="H12" s="35">
        <f t="shared" si="0"/>
        <v>4.4652000000000003</v>
      </c>
      <c r="I12" s="9">
        <f t="shared" si="1"/>
        <v>30101.693996598904</v>
      </c>
    </row>
    <row r="13" spans="2:9" x14ac:dyDescent="0.25">
      <c r="B13" s="5" t="s">
        <v>30</v>
      </c>
      <c r="C13" s="6"/>
      <c r="D13" s="5"/>
      <c r="E13" s="33"/>
      <c r="F13" s="38"/>
      <c r="G13" s="38"/>
      <c r="H13" s="35"/>
      <c r="I13" s="9">
        <v>2517</v>
      </c>
    </row>
    <row r="14" spans="2:9" x14ac:dyDescent="0.25">
      <c r="B14" s="5" t="s">
        <v>31</v>
      </c>
      <c r="C14" s="6"/>
      <c r="D14" s="5"/>
      <c r="E14" s="33"/>
      <c r="F14" s="38"/>
      <c r="G14" s="38"/>
      <c r="H14" s="35"/>
      <c r="I14" s="9">
        <v>1078</v>
      </c>
    </row>
    <row r="15" spans="2:9" x14ac:dyDescent="0.25">
      <c r="B15" s="5" t="s">
        <v>32</v>
      </c>
      <c r="C15" s="6"/>
      <c r="D15" s="5"/>
      <c r="E15" s="33"/>
      <c r="F15" s="38"/>
      <c r="G15" s="38"/>
      <c r="H15" s="35"/>
      <c r="I15" s="9">
        <v>1742</v>
      </c>
    </row>
    <row r="16" spans="2:9" x14ac:dyDescent="0.25">
      <c r="B16" s="5" t="s">
        <v>33</v>
      </c>
      <c r="C16" s="6"/>
      <c r="D16" s="5"/>
      <c r="E16" s="33"/>
      <c r="F16" s="38"/>
      <c r="G16" s="38"/>
      <c r="H16" s="35"/>
      <c r="I16" s="9">
        <v>4681</v>
      </c>
    </row>
    <row r="17" spans="1:9" x14ac:dyDescent="0.25">
      <c r="B17" s="5" t="s">
        <v>34</v>
      </c>
      <c r="C17" s="6">
        <v>320320</v>
      </c>
      <c r="D17" s="5">
        <v>1.22</v>
      </c>
      <c r="E17" s="33"/>
      <c r="F17" s="38">
        <v>3.06</v>
      </c>
      <c r="G17" s="38"/>
      <c r="H17" s="35">
        <f>+F17*D17</f>
        <v>3.7332000000000001</v>
      </c>
      <c r="I17" s="9">
        <f>+C17/H17</f>
        <v>85803.064395156965</v>
      </c>
    </row>
    <row r="18" spans="1:9" x14ac:dyDescent="0.25">
      <c r="B18" s="5" t="s">
        <v>35</v>
      </c>
      <c r="C18" s="6">
        <v>173800</v>
      </c>
      <c r="D18" s="5">
        <v>1.22</v>
      </c>
      <c r="E18" s="33"/>
      <c r="F18" s="38">
        <v>2.44</v>
      </c>
      <c r="G18" s="38"/>
      <c r="H18" s="35">
        <f>+F18*D18</f>
        <v>2.9767999999999999</v>
      </c>
      <c r="I18" s="9">
        <f>+C18/H18</f>
        <v>58384.842784197797</v>
      </c>
    </row>
    <row r="19" spans="1:9" x14ac:dyDescent="0.25">
      <c r="F19" s="41"/>
      <c r="G19" s="41"/>
    </row>
    <row r="20" spans="1:9" s="24" customFormat="1" x14ac:dyDescent="0.25">
      <c r="A20" s="25"/>
      <c r="B20" s="134" t="s">
        <v>74</v>
      </c>
      <c r="C20" s="134"/>
      <c r="D20" s="134"/>
      <c r="E20" s="134"/>
      <c r="F20" s="134"/>
      <c r="G20" s="134"/>
      <c r="H20" s="134"/>
      <c r="I20" s="134"/>
    </row>
    <row r="21" spans="1:9" s="23" customFormat="1" ht="31.5" x14ac:dyDescent="0.25">
      <c r="A21" s="25" t="s">
        <v>1</v>
      </c>
      <c r="B21" s="30" t="s">
        <v>42</v>
      </c>
      <c r="C21" s="30" t="s">
        <v>14</v>
      </c>
      <c r="D21" s="30" t="s">
        <v>13</v>
      </c>
      <c r="E21" s="30" t="s">
        <v>2</v>
      </c>
      <c r="F21" s="28"/>
      <c r="G21" s="28" t="s">
        <v>12</v>
      </c>
      <c r="H21" s="28" t="s">
        <v>16</v>
      </c>
      <c r="I21" s="28" t="s">
        <v>3</v>
      </c>
    </row>
    <row r="22" spans="1:9" s="24" customFormat="1" x14ac:dyDescent="0.25">
      <c r="A22" s="44">
        <v>1</v>
      </c>
      <c r="B22" s="14" t="s">
        <v>39</v>
      </c>
      <c r="C22" s="14" t="s">
        <v>40</v>
      </c>
      <c r="D22" s="14" t="s">
        <v>62</v>
      </c>
      <c r="E22" s="14">
        <v>1</v>
      </c>
      <c r="F22" s="16"/>
      <c r="G22" s="16">
        <f>E22</f>
        <v>1</v>
      </c>
      <c r="H22" s="29">
        <f>C3</f>
        <v>239495.79831932773</v>
      </c>
      <c r="I22" s="29"/>
    </row>
    <row r="23" spans="1:9" s="24" customFormat="1" x14ac:dyDescent="0.25">
      <c r="A23" s="44">
        <v>2</v>
      </c>
      <c r="B23" s="14"/>
      <c r="C23" s="14"/>
      <c r="D23" s="14"/>
      <c r="E23" s="14"/>
      <c r="F23" s="16"/>
      <c r="G23" s="16"/>
      <c r="H23" s="29"/>
      <c r="I23" s="29"/>
    </row>
    <row r="24" spans="1:9" s="24" customFormat="1" x14ac:dyDescent="0.25">
      <c r="A24" s="44">
        <v>3</v>
      </c>
      <c r="B24" s="14"/>
      <c r="C24" s="14"/>
      <c r="D24" s="14"/>
      <c r="E24" s="14"/>
      <c r="F24" s="16"/>
      <c r="G24" s="16"/>
      <c r="H24" s="29"/>
      <c r="I24" s="29"/>
    </row>
    <row r="25" spans="1:9" s="24" customFormat="1" x14ac:dyDescent="0.25">
      <c r="A25" s="44">
        <v>4</v>
      </c>
      <c r="B25" s="14"/>
      <c r="C25" s="14"/>
      <c r="D25" s="14"/>
      <c r="E25" s="14"/>
      <c r="F25" s="16"/>
      <c r="G25" s="16"/>
      <c r="H25" s="29"/>
      <c r="I25" s="29"/>
    </row>
    <row r="26" spans="1:9" s="24" customFormat="1" x14ac:dyDescent="0.25">
      <c r="A26" s="44">
        <v>5</v>
      </c>
      <c r="B26" s="14"/>
      <c r="C26" s="14"/>
      <c r="D26" s="14"/>
      <c r="E26" s="14"/>
      <c r="F26" s="16"/>
      <c r="G26" s="16"/>
      <c r="H26" s="29"/>
      <c r="I26" s="29"/>
    </row>
    <row r="27" spans="1:9" s="24" customFormat="1" ht="15" x14ac:dyDescent="0.25">
      <c r="A27" s="49">
        <v>6</v>
      </c>
      <c r="B27" s="14"/>
      <c r="C27" s="14"/>
      <c r="D27" s="14"/>
      <c r="E27" s="14"/>
      <c r="F27" s="16"/>
      <c r="G27" s="16"/>
      <c r="H27" s="29"/>
      <c r="I27" s="29"/>
    </row>
    <row r="28" spans="1:9" s="24" customFormat="1" ht="15" x14ac:dyDescent="0.25">
      <c r="A28" s="49">
        <v>7</v>
      </c>
      <c r="B28" s="14"/>
      <c r="C28" s="14"/>
      <c r="D28" s="14"/>
      <c r="E28" s="14"/>
      <c r="F28" s="16"/>
      <c r="G28" s="16"/>
      <c r="H28" s="29"/>
      <c r="I28" s="29"/>
    </row>
    <row r="29" spans="1:9" s="24" customFormat="1" ht="15" x14ac:dyDescent="0.25">
      <c r="A29" s="49">
        <v>8</v>
      </c>
      <c r="B29" s="14"/>
      <c r="C29" s="14"/>
      <c r="D29" s="14"/>
      <c r="E29" s="14"/>
      <c r="F29" s="16"/>
      <c r="G29" s="16"/>
      <c r="H29" s="29"/>
      <c r="I29" s="29"/>
    </row>
    <row r="30" spans="1:9" s="24" customFormat="1" ht="15" x14ac:dyDescent="0.25">
      <c r="A30" s="49">
        <v>9</v>
      </c>
      <c r="B30" s="14"/>
      <c r="C30" s="14"/>
      <c r="D30" s="14"/>
      <c r="E30" s="14"/>
      <c r="F30" s="16"/>
      <c r="G30" s="16"/>
      <c r="H30" s="29"/>
      <c r="I30" s="29"/>
    </row>
    <row r="31" spans="1:9" s="24" customFormat="1" ht="15" x14ac:dyDescent="0.25">
      <c r="A31" s="49">
        <v>10</v>
      </c>
      <c r="B31" s="14"/>
      <c r="C31" s="14"/>
      <c r="D31" s="14"/>
      <c r="E31" s="14"/>
      <c r="F31" s="16"/>
      <c r="G31" s="16"/>
      <c r="H31" s="29"/>
      <c r="I31" s="29"/>
    </row>
    <row r="32" spans="1:9" s="17" customFormat="1" x14ac:dyDescent="0.25">
      <c r="A32" s="15"/>
      <c r="B32" s="132" t="s">
        <v>75</v>
      </c>
      <c r="C32" s="132"/>
      <c r="D32" s="132"/>
      <c r="E32" s="132"/>
      <c r="F32" s="132"/>
      <c r="G32" s="132"/>
      <c r="H32" s="132"/>
      <c r="I32" s="132"/>
    </row>
    <row r="33" spans="1:9" s="17" customFormat="1" ht="31.5" x14ac:dyDescent="0.2">
      <c r="A33" s="25" t="s">
        <v>1</v>
      </c>
      <c r="B33" s="133" t="s">
        <v>43</v>
      </c>
      <c r="C33" s="133"/>
      <c r="D33" s="30" t="s">
        <v>13</v>
      </c>
      <c r="E33" s="30" t="s">
        <v>2</v>
      </c>
      <c r="F33" s="25" t="s">
        <v>11</v>
      </c>
      <c r="G33" s="25" t="s">
        <v>12</v>
      </c>
      <c r="H33" s="28" t="s">
        <v>16</v>
      </c>
      <c r="I33" s="28" t="s">
        <v>3</v>
      </c>
    </row>
    <row r="34" spans="1:9" s="17" customFormat="1" ht="15" x14ac:dyDescent="0.2">
      <c r="A34" s="49">
        <v>1</v>
      </c>
      <c r="B34" s="130" t="s">
        <v>44</v>
      </c>
      <c r="C34" s="131"/>
      <c r="D34" s="14" t="s">
        <v>41</v>
      </c>
      <c r="E34" s="14">
        <v>32</v>
      </c>
      <c r="F34" s="16">
        <f>+E34*0.25</f>
        <v>8</v>
      </c>
      <c r="G34" s="16">
        <f>+F34+E34</f>
        <v>40</v>
      </c>
      <c r="H34" s="29">
        <f>I13</f>
        <v>2517</v>
      </c>
      <c r="I34" s="29">
        <v>0</v>
      </c>
    </row>
    <row r="35" spans="1:9" s="17" customFormat="1" ht="15" x14ac:dyDescent="0.2">
      <c r="A35" s="49">
        <v>2</v>
      </c>
      <c r="B35" s="130"/>
      <c r="C35" s="131"/>
      <c r="D35" s="14"/>
      <c r="E35" s="14"/>
      <c r="F35" s="16"/>
      <c r="G35" s="16"/>
      <c r="H35" s="29"/>
      <c r="I35" s="29">
        <f t="shared" ref="I35:I43" si="2">+H35*G35</f>
        <v>0</v>
      </c>
    </row>
    <row r="36" spans="1:9" s="17" customFormat="1" ht="15" x14ac:dyDescent="0.2">
      <c r="A36" s="49">
        <v>3</v>
      </c>
      <c r="B36" s="130"/>
      <c r="C36" s="131"/>
      <c r="D36" s="14"/>
      <c r="E36" s="14"/>
      <c r="F36" s="16"/>
      <c r="G36" s="16"/>
      <c r="H36" s="29"/>
      <c r="I36" s="29">
        <f t="shared" si="2"/>
        <v>0</v>
      </c>
    </row>
    <row r="37" spans="1:9" s="17" customFormat="1" ht="15" x14ac:dyDescent="0.2">
      <c r="A37" s="49">
        <v>4</v>
      </c>
      <c r="B37" s="130"/>
      <c r="C37" s="131"/>
      <c r="D37" s="14"/>
      <c r="E37" s="14"/>
      <c r="F37" s="16"/>
      <c r="G37" s="16"/>
      <c r="H37" s="29"/>
      <c r="I37" s="29">
        <f t="shared" si="2"/>
        <v>0</v>
      </c>
    </row>
    <row r="38" spans="1:9" s="17" customFormat="1" ht="15" x14ac:dyDescent="0.2">
      <c r="A38" s="49">
        <v>5</v>
      </c>
      <c r="B38" s="130"/>
      <c r="C38" s="131"/>
      <c r="D38" s="14"/>
      <c r="E38" s="14"/>
      <c r="F38" s="16"/>
      <c r="G38" s="16"/>
      <c r="H38" s="29"/>
      <c r="I38" s="29">
        <f t="shared" si="2"/>
        <v>0</v>
      </c>
    </row>
    <row r="39" spans="1:9" s="17" customFormat="1" ht="15" x14ac:dyDescent="0.2">
      <c r="A39" s="49">
        <v>6</v>
      </c>
      <c r="B39" s="130"/>
      <c r="C39" s="131"/>
      <c r="D39" s="14"/>
      <c r="E39" s="14"/>
      <c r="F39" s="16"/>
      <c r="G39" s="16"/>
      <c r="H39" s="29"/>
      <c r="I39" s="29">
        <f t="shared" si="2"/>
        <v>0</v>
      </c>
    </row>
    <row r="40" spans="1:9" s="17" customFormat="1" ht="15" x14ac:dyDescent="0.2">
      <c r="A40" s="49">
        <v>7</v>
      </c>
      <c r="B40" s="130"/>
      <c r="C40" s="131"/>
      <c r="D40" s="14"/>
      <c r="E40" s="14"/>
      <c r="F40" s="16"/>
      <c r="G40" s="16"/>
      <c r="H40" s="29"/>
      <c r="I40" s="29">
        <f t="shared" si="2"/>
        <v>0</v>
      </c>
    </row>
    <row r="41" spans="1:9" s="17" customFormat="1" ht="15" x14ac:dyDescent="0.2">
      <c r="A41" s="49">
        <v>8</v>
      </c>
      <c r="B41" s="130"/>
      <c r="C41" s="131"/>
      <c r="D41" s="14"/>
      <c r="E41" s="14"/>
      <c r="F41" s="16"/>
      <c r="G41" s="16"/>
      <c r="H41" s="29"/>
      <c r="I41" s="29">
        <f t="shared" si="2"/>
        <v>0</v>
      </c>
    </row>
    <row r="42" spans="1:9" s="17" customFormat="1" ht="15" x14ac:dyDescent="0.2">
      <c r="A42" s="49">
        <v>9</v>
      </c>
      <c r="B42" s="130"/>
      <c r="C42" s="131"/>
      <c r="D42" s="14"/>
      <c r="E42" s="14"/>
      <c r="F42" s="16"/>
      <c r="G42" s="16"/>
      <c r="H42" s="29"/>
      <c r="I42" s="29">
        <f t="shared" si="2"/>
        <v>0</v>
      </c>
    </row>
    <row r="43" spans="1:9" s="17" customFormat="1" ht="15" x14ac:dyDescent="0.2">
      <c r="A43" s="49">
        <v>10</v>
      </c>
      <c r="B43" s="130"/>
      <c r="C43" s="131"/>
      <c r="D43" s="14"/>
      <c r="E43" s="14"/>
      <c r="F43" s="16"/>
      <c r="G43" s="16"/>
      <c r="H43" s="29"/>
      <c r="I43" s="29">
        <f t="shared" si="2"/>
        <v>0</v>
      </c>
    </row>
    <row r="44" spans="1:9" s="17" customFormat="1" x14ac:dyDescent="0.25">
      <c r="A44" s="15"/>
      <c r="B44" s="132" t="s">
        <v>76</v>
      </c>
      <c r="C44" s="132"/>
      <c r="D44" s="132"/>
      <c r="E44" s="132"/>
      <c r="F44" s="132"/>
      <c r="G44" s="132"/>
      <c r="H44" s="132"/>
      <c r="I44" s="132"/>
    </row>
    <row r="45" spans="1:9" x14ac:dyDescent="0.2">
      <c r="A45" s="25" t="s">
        <v>1</v>
      </c>
      <c r="B45" s="133" t="s">
        <v>57</v>
      </c>
      <c r="C45" s="133"/>
      <c r="D45" s="30" t="s">
        <v>14</v>
      </c>
      <c r="E45" s="30" t="s">
        <v>2</v>
      </c>
      <c r="F45" s="28" t="s">
        <v>48</v>
      </c>
      <c r="G45" s="28" t="s">
        <v>49</v>
      </c>
      <c r="H45" s="28" t="s">
        <v>50</v>
      </c>
      <c r="I45" s="28" t="s">
        <v>3</v>
      </c>
    </row>
    <row r="46" spans="1:9" x14ac:dyDescent="0.25">
      <c r="A46" s="15">
        <v>1</v>
      </c>
      <c r="B46" s="129" t="s">
        <v>51</v>
      </c>
      <c r="C46" s="129"/>
      <c r="D46" s="14" t="s">
        <v>47</v>
      </c>
      <c r="E46" s="14">
        <v>2</v>
      </c>
      <c r="F46" s="16">
        <v>0.5</v>
      </c>
      <c r="G46" s="16">
        <f>+F46*E46</f>
        <v>1</v>
      </c>
      <c r="H46" s="29">
        <v>10397</v>
      </c>
      <c r="I46" s="29">
        <v>0</v>
      </c>
    </row>
    <row r="47" spans="1:9" x14ac:dyDescent="0.25">
      <c r="A47" s="15">
        <v>2</v>
      </c>
      <c r="B47" s="129"/>
      <c r="C47" s="129"/>
      <c r="D47" s="14"/>
      <c r="E47" s="14"/>
      <c r="F47" s="16"/>
      <c r="G47" s="16"/>
      <c r="H47" s="29">
        <v>10397</v>
      </c>
      <c r="I47" s="29">
        <f t="shared" ref="I47:I50" si="3">+H47*G47</f>
        <v>0</v>
      </c>
    </row>
    <row r="48" spans="1:9" x14ac:dyDescent="0.25">
      <c r="A48" s="15">
        <v>3</v>
      </c>
      <c r="B48" s="129"/>
      <c r="C48" s="129"/>
      <c r="D48" s="14"/>
      <c r="E48" s="14"/>
      <c r="F48" s="16"/>
      <c r="G48" s="16"/>
      <c r="H48" s="29">
        <v>10397</v>
      </c>
      <c r="I48" s="29">
        <f t="shared" si="3"/>
        <v>0</v>
      </c>
    </row>
    <row r="49" spans="1:9" x14ac:dyDescent="0.25">
      <c r="A49" s="15">
        <v>4</v>
      </c>
      <c r="B49" s="129"/>
      <c r="C49" s="129"/>
      <c r="D49" s="14"/>
      <c r="E49" s="14"/>
      <c r="F49" s="16"/>
      <c r="G49" s="16"/>
      <c r="H49" s="29">
        <v>10397</v>
      </c>
      <c r="I49" s="29">
        <f t="shared" si="3"/>
        <v>0</v>
      </c>
    </row>
    <row r="50" spans="1:9" x14ac:dyDescent="0.25">
      <c r="A50" s="15">
        <v>5</v>
      </c>
      <c r="B50" s="129"/>
      <c r="C50" s="129"/>
      <c r="D50" s="14"/>
      <c r="E50" s="14"/>
      <c r="F50" s="16"/>
      <c r="G50" s="16"/>
      <c r="H50" s="29">
        <v>10397</v>
      </c>
      <c r="I50" s="29">
        <f t="shared" si="3"/>
        <v>0</v>
      </c>
    </row>
    <row r="51" spans="1:9" x14ac:dyDescent="0.25">
      <c r="A51" s="15">
        <v>6</v>
      </c>
      <c r="B51" s="129"/>
      <c r="C51" s="129"/>
      <c r="D51" s="14"/>
      <c r="E51" s="14"/>
      <c r="F51" s="16"/>
      <c r="G51" s="16"/>
      <c r="H51" s="29">
        <v>10397</v>
      </c>
      <c r="I51" s="29">
        <f t="shared" ref="I51:I62" si="4">+H51*G51</f>
        <v>0</v>
      </c>
    </row>
    <row r="52" spans="1:9" x14ac:dyDescent="0.25">
      <c r="A52" s="15">
        <v>7</v>
      </c>
      <c r="B52" s="129"/>
      <c r="C52" s="129"/>
      <c r="D52" s="14"/>
      <c r="E52" s="14"/>
      <c r="F52" s="16"/>
      <c r="G52" s="16"/>
      <c r="H52" s="29">
        <v>10397</v>
      </c>
      <c r="I52" s="29">
        <f t="shared" si="4"/>
        <v>0</v>
      </c>
    </row>
    <row r="53" spans="1:9" x14ac:dyDescent="0.25">
      <c r="A53" s="15">
        <v>8</v>
      </c>
      <c r="B53" s="129"/>
      <c r="C53" s="129"/>
      <c r="D53" s="14"/>
      <c r="E53" s="14"/>
      <c r="F53" s="16"/>
      <c r="G53" s="16"/>
      <c r="H53" s="29">
        <v>10397</v>
      </c>
      <c r="I53" s="29">
        <f t="shared" si="4"/>
        <v>0</v>
      </c>
    </row>
    <row r="54" spans="1:9" x14ac:dyDescent="0.25">
      <c r="A54" s="15">
        <v>9</v>
      </c>
      <c r="B54" s="129"/>
      <c r="C54" s="129"/>
      <c r="D54" s="14"/>
      <c r="E54" s="14"/>
      <c r="F54" s="16"/>
      <c r="G54" s="16"/>
      <c r="H54" s="29">
        <v>10397</v>
      </c>
      <c r="I54" s="29">
        <f t="shared" si="4"/>
        <v>0</v>
      </c>
    </row>
    <row r="55" spans="1:9" x14ac:dyDescent="0.25">
      <c r="A55" s="15">
        <v>10</v>
      </c>
      <c r="B55" s="129"/>
      <c r="C55" s="129"/>
      <c r="D55" s="14"/>
      <c r="E55" s="14"/>
      <c r="F55" s="16"/>
      <c r="G55" s="16"/>
      <c r="H55" s="29">
        <v>10397</v>
      </c>
      <c r="I55" s="29">
        <f t="shared" si="4"/>
        <v>0</v>
      </c>
    </row>
    <row r="56" spans="1:9" x14ac:dyDescent="0.25">
      <c r="A56" s="15">
        <v>11</v>
      </c>
      <c r="B56" s="129"/>
      <c r="C56" s="129"/>
      <c r="D56" s="14"/>
      <c r="E56" s="14"/>
      <c r="F56" s="16"/>
      <c r="G56" s="16"/>
      <c r="H56" s="29">
        <v>10397</v>
      </c>
      <c r="I56" s="29">
        <f t="shared" si="4"/>
        <v>0</v>
      </c>
    </row>
    <row r="57" spans="1:9" x14ac:dyDescent="0.25">
      <c r="A57" s="15">
        <v>12</v>
      </c>
      <c r="B57" s="129"/>
      <c r="C57" s="129"/>
      <c r="D57" s="14"/>
      <c r="E57" s="14"/>
      <c r="F57" s="16"/>
      <c r="G57" s="16"/>
      <c r="H57" s="29">
        <v>10397</v>
      </c>
      <c r="I57" s="29">
        <f t="shared" si="4"/>
        <v>0</v>
      </c>
    </row>
    <row r="58" spans="1:9" x14ac:dyDescent="0.25">
      <c r="A58" s="15">
        <v>13</v>
      </c>
      <c r="B58" s="129"/>
      <c r="C58" s="129"/>
      <c r="D58" s="14"/>
      <c r="E58" s="14"/>
      <c r="F58" s="16"/>
      <c r="G58" s="16"/>
      <c r="H58" s="29">
        <v>10397</v>
      </c>
      <c r="I58" s="29">
        <f t="shared" si="4"/>
        <v>0</v>
      </c>
    </row>
    <row r="59" spans="1:9" x14ac:dyDescent="0.25">
      <c r="A59" s="15">
        <v>14</v>
      </c>
      <c r="B59" s="129"/>
      <c r="C59" s="129"/>
      <c r="D59" s="14"/>
      <c r="E59" s="14"/>
      <c r="F59" s="16"/>
      <c r="G59" s="16"/>
      <c r="H59" s="29">
        <v>10397</v>
      </c>
      <c r="I59" s="29">
        <f t="shared" si="4"/>
        <v>0</v>
      </c>
    </row>
    <row r="60" spans="1:9" x14ac:dyDescent="0.25">
      <c r="A60" s="15">
        <v>15</v>
      </c>
      <c r="B60" s="129"/>
      <c r="C60" s="129"/>
      <c r="D60" s="14"/>
      <c r="E60" s="14"/>
      <c r="F60" s="16"/>
      <c r="G60" s="16"/>
      <c r="H60" s="29">
        <v>10397</v>
      </c>
      <c r="I60" s="29">
        <f t="shared" si="4"/>
        <v>0</v>
      </c>
    </row>
    <row r="61" spans="1:9" x14ac:dyDescent="0.25">
      <c r="A61" s="15">
        <v>16</v>
      </c>
      <c r="B61" s="129"/>
      <c r="C61" s="129"/>
      <c r="D61" s="14"/>
      <c r="E61" s="14"/>
      <c r="F61" s="16"/>
      <c r="G61" s="16"/>
      <c r="H61" s="29">
        <v>10397</v>
      </c>
      <c r="I61" s="29">
        <f t="shared" si="4"/>
        <v>0</v>
      </c>
    </row>
    <row r="62" spans="1:9" x14ac:dyDescent="0.25">
      <c r="A62" s="15">
        <v>17</v>
      </c>
      <c r="B62" s="129"/>
      <c r="C62" s="129"/>
      <c r="D62" s="14"/>
      <c r="E62" s="14"/>
      <c r="F62" s="16"/>
      <c r="G62" s="16"/>
      <c r="H62" s="29">
        <v>10397</v>
      </c>
      <c r="I62" s="29">
        <f t="shared" si="4"/>
        <v>0</v>
      </c>
    </row>
    <row r="63" spans="1:9" x14ac:dyDescent="0.25">
      <c r="A63" s="15"/>
      <c r="B63" s="132" t="s">
        <v>77</v>
      </c>
      <c r="C63" s="132"/>
      <c r="D63" s="132"/>
      <c r="E63" s="132"/>
      <c r="F63" s="132"/>
      <c r="G63" s="132"/>
      <c r="H63" s="132"/>
      <c r="I63" s="132"/>
    </row>
    <row r="64" spans="1:9" x14ac:dyDescent="0.2">
      <c r="A64" s="25"/>
      <c r="B64" s="133" t="s">
        <v>5</v>
      </c>
      <c r="C64" s="133"/>
      <c r="D64" s="133"/>
      <c r="E64" s="30" t="s">
        <v>2</v>
      </c>
      <c r="F64" s="28"/>
      <c r="G64" s="28"/>
      <c r="H64" s="28" t="s">
        <v>50</v>
      </c>
      <c r="I64" s="28" t="s">
        <v>3</v>
      </c>
    </row>
    <row r="65" spans="1:11" x14ac:dyDescent="0.2">
      <c r="A65" s="25"/>
      <c r="B65" s="128" t="s">
        <v>82</v>
      </c>
      <c r="C65" s="128"/>
      <c r="D65" s="128"/>
      <c r="E65" s="50">
        <v>1</v>
      </c>
      <c r="F65" s="18"/>
      <c r="G65" s="18"/>
      <c r="H65" s="51">
        <v>600000</v>
      </c>
      <c r="I65" s="29"/>
    </row>
    <row r="66" spans="1:11" x14ac:dyDescent="0.25">
      <c r="A66" s="15"/>
      <c r="B66" s="135" t="s">
        <v>53</v>
      </c>
      <c r="C66" s="135"/>
      <c r="D66" s="135"/>
      <c r="E66" s="50">
        <v>4</v>
      </c>
      <c r="F66" s="18"/>
      <c r="G66" s="18"/>
      <c r="H66" s="29">
        <v>10397</v>
      </c>
      <c r="I66" s="29"/>
    </row>
    <row r="67" spans="1:11" x14ac:dyDescent="0.25">
      <c r="A67" s="15"/>
      <c r="B67" s="135" t="s">
        <v>8</v>
      </c>
      <c r="C67" s="135"/>
      <c r="D67" s="135"/>
      <c r="E67" s="21"/>
      <c r="F67" s="18"/>
      <c r="G67" s="18"/>
      <c r="H67" s="29">
        <v>10397</v>
      </c>
      <c r="I67" s="29"/>
    </row>
    <row r="68" spans="1:11" x14ac:dyDescent="0.25">
      <c r="A68" s="15"/>
      <c r="B68" s="135" t="s">
        <v>52</v>
      </c>
      <c r="C68" s="135"/>
      <c r="D68" s="135"/>
      <c r="E68" s="21"/>
      <c r="F68" s="18"/>
      <c r="G68" s="18"/>
      <c r="H68" s="29">
        <v>10397</v>
      </c>
      <c r="I68" s="29"/>
    </row>
    <row r="69" spans="1:11" x14ac:dyDescent="0.25">
      <c r="A69" s="15"/>
      <c r="B69" s="135" t="s">
        <v>9</v>
      </c>
      <c r="C69" s="135"/>
      <c r="D69" s="135"/>
      <c r="E69" s="19"/>
      <c r="F69" s="18"/>
      <c r="G69" s="18"/>
      <c r="H69" s="29">
        <v>10397</v>
      </c>
      <c r="I69" s="29">
        <f t="shared" ref="I69:I70" si="5">+H69*E69</f>
        <v>0</v>
      </c>
    </row>
    <row r="70" spans="1:11" x14ac:dyDescent="0.25">
      <c r="A70" s="15"/>
      <c r="B70" s="135" t="s">
        <v>54</v>
      </c>
      <c r="C70" s="135"/>
      <c r="D70" s="135"/>
      <c r="E70" s="21"/>
      <c r="F70" s="18"/>
      <c r="G70" s="18"/>
      <c r="H70" s="29">
        <v>10397</v>
      </c>
      <c r="I70" s="29">
        <f t="shared" si="5"/>
        <v>0</v>
      </c>
    </row>
    <row r="71" spans="1:11" x14ac:dyDescent="0.2">
      <c r="A71" s="25"/>
      <c r="B71" s="132" t="s">
        <v>4</v>
      </c>
      <c r="C71" s="132"/>
      <c r="D71" s="132"/>
      <c r="E71" s="132"/>
      <c r="F71" s="132"/>
      <c r="G71" s="132"/>
      <c r="H71" s="132"/>
      <c r="I71" s="132"/>
      <c r="K71" s="12">
        <f>15000*44</f>
        <v>660000</v>
      </c>
    </row>
    <row r="72" spans="1:11" x14ac:dyDescent="0.2">
      <c r="A72" s="25"/>
      <c r="B72" s="30" t="s">
        <v>57</v>
      </c>
      <c r="C72" s="30" t="s">
        <v>58</v>
      </c>
      <c r="D72" s="30" t="s">
        <v>48</v>
      </c>
      <c r="E72" s="30" t="s">
        <v>2</v>
      </c>
      <c r="F72" s="28"/>
      <c r="G72" s="28"/>
      <c r="H72" s="28" t="s">
        <v>50</v>
      </c>
      <c r="I72" s="28" t="s">
        <v>3</v>
      </c>
    </row>
    <row r="73" spans="1:11" x14ac:dyDescent="0.2">
      <c r="A73" s="18"/>
      <c r="B73" s="20" t="s">
        <v>56</v>
      </c>
      <c r="C73" s="18"/>
      <c r="D73" s="18"/>
      <c r="E73" s="30">
        <v>4</v>
      </c>
      <c r="F73" s="28"/>
      <c r="G73" s="28"/>
      <c r="H73" s="29">
        <v>14336</v>
      </c>
      <c r="I73" s="29"/>
    </row>
    <row r="74" spans="1:11" ht="15" x14ac:dyDescent="0.2">
      <c r="A74" s="18"/>
      <c r="B74" s="20" t="s">
        <v>55</v>
      </c>
      <c r="C74" s="18"/>
      <c r="D74" s="18"/>
      <c r="E74" s="19">
        <f>SUM(E34:E38)*0.1</f>
        <v>3.2</v>
      </c>
      <c r="F74" s="18"/>
      <c r="G74" s="18"/>
      <c r="H74" s="29">
        <v>14336</v>
      </c>
      <c r="I74" s="29"/>
    </row>
    <row r="75" spans="1:11" ht="15" x14ac:dyDescent="0.2">
      <c r="A75" s="18"/>
      <c r="B75" s="20" t="s">
        <v>59</v>
      </c>
      <c r="C75" s="21">
        <v>0</v>
      </c>
      <c r="D75" s="19">
        <v>1</v>
      </c>
      <c r="E75" s="19">
        <f>+D75*C75</f>
        <v>0</v>
      </c>
      <c r="F75" s="18"/>
      <c r="G75" s="18"/>
      <c r="H75" s="29">
        <v>10397</v>
      </c>
      <c r="I75" s="29"/>
    </row>
    <row r="76" spans="1:11" ht="15" x14ac:dyDescent="0.2">
      <c r="A76" s="18"/>
      <c r="B76" s="43" t="s">
        <v>60</v>
      </c>
      <c r="C76" s="21">
        <v>0</v>
      </c>
      <c r="D76" s="19">
        <v>1</v>
      </c>
      <c r="E76" s="19">
        <f>+D76*C76</f>
        <v>0</v>
      </c>
      <c r="F76" s="18"/>
      <c r="G76" s="18"/>
      <c r="H76" s="29">
        <v>10397</v>
      </c>
      <c r="I76" s="29">
        <f>+H76*E76</f>
        <v>0</v>
      </c>
    </row>
    <row r="77" spans="1:11" ht="15" x14ac:dyDescent="0.2">
      <c r="A77" s="18"/>
      <c r="B77" s="20" t="s">
        <v>61</v>
      </c>
      <c r="C77" s="21">
        <v>0</v>
      </c>
      <c r="D77" s="19">
        <v>0.8</v>
      </c>
      <c r="E77" s="19">
        <f>+D77*C77</f>
        <v>0</v>
      </c>
      <c r="F77" s="18"/>
      <c r="G77" s="18"/>
      <c r="H77" s="29">
        <v>10397</v>
      </c>
      <c r="I77" s="29">
        <f>+H77*E77</f>
        <v>0</v>
      </c>
    </row>
    <row r="78" spans="1:11" x14ac:dyDescent="0.2">
      <c r="A78" s="25"/>
      <c r="B78" s="132" t="s">
        <v>6</v>
      </c>
      <c r="C78" s="132"/>
      <c r="D78" s="132"/>
      <c r="E78" s="132"/>
      <c r="F78" s="132"/>
      <c r="G78" s="132"/>
      <c r="H78" s="132"/>
      <c r="I78" s="132"/>
    </row>
    <row r="79" spans="1:11" x14ac:dyDescent="0.25">
      <c r="A79" s="15"/>
      <c r="B79" s="39" t="s">
        <v>0</v>
      </c>
      <c r="C79" s="39" t="s">
        <v>64</v>
      </c>
      <c r="D79" s="42" t="s">
        <v>13</v>
      </c>
      <c r="E79" s="39" t="s">
        <v>65</v>
      </c>
      <c r="F79" s="39" t="s">
        <v>66</v>
      </c>
      <c r="G79" s="39" t="s">
        <v>2</v>
      </c>
      <c r="H79" s="28" t="s">
        <v>50</v>
      </c>
      <c r="I79" s="28" t="s">
        <v>3</v>
      </c>
    </row>
    <row r="80" spans="1:11" ht="15" x14ac:dyDescent="0.2">
      <c r="A80" s="18"/>
      <c r="B80" s="20" t="s">
        <v>83</v>
      </c>
      <c r="C80" s="14">
        <v>2.2599999999999998</v>
      </c>
      <c r="D80" s="14" t="s">
        <v>41</v>
      </c>
      <c r="E80" s="14">
        <v>3</v>
      </c>
      <c r="F80" s="16">
        <v>1</v>
      </c>
      <c r="G80" s="16">
        <f>+F80*E80*C80</f>
        <v>6.7799999999999994</v>
      </c>
      <c r="H80" s="29">
        <v>14336</v>
      </c>
      <c r="I80" s="29"/>
    </row>
    <row r="81" spans="1:9" ht="15" x14ac:dyDescent="0.2">
      <c r="A81" s="18"/>
      <c r="B81" s="20" t="s">
        <v>84</v>
      </c>
      <c r="C81" s="14"/>
      <c r="D81" s="14"/>
      <c r="E81" s="14"/>
      <c r="F81" s="16"/>
      <c r="G81" s="16"/>
      <c r="H81" s="29">
        <v>14336</v>
      </c>
      <c r="I81" s="29">
        <f t="shared" ref="I81:I87" si="6">+H81*E81</f>
        <v>0</v>
      </c>
    </row>
    <row r="82" spans="1:9" ht="15" x14ac:dyDescent="0.2">
      <c r="A82" s="18"/>
      <c r="B82" s="20" t="s">
        <v>85</v>
      </c>
      <c r="C82" s="14"/>
      <c r="D82" s="14"/>
      <c r="E82" s="14"/>
      <c r="F82" s="16"/>
      <c r="G82" s="16"/>
      <c r="H82" s="29">
        <v>14336</v>
      </c>
      <c r="I82" s="29">
        <f t="shared" si="6"/>
        <v>0</v>
      </c>
    </row>
    <row r="83" spans="1:9" ht="15" x14ac:dyDescent="0.2">
      <c r="A83" s="18"/>
      <c r="B83" s="20" t="s">
        <v>86</v>
      </c>
      <c r="C83" s="14"/>
      <c r="D83" s="14"/>
      <c r="E83" s="14"/>
      <c r="F83" s="16"/>
      <c r="G83" s="16"/>
      <c r="H83" s="29">
        <v>14336</v>
      </c>
      <c r="I83" s="29">
        <f t="shared" si="6"/>
        <v>0</v>
      </c>
    </row>
    <row r="84" spans="1:9" ht="15" x14ac:dyDescent="0.2">
      <c r="A84" s="18"/>
      <c r="B84" s="20" t="s">
        <v>87</v>
      </c>
      <c r="C84" s="14"/>
      <c r="D84" s="14"/>
      <c r="E84" s="14"/>
      <c r="F84" s="16"/>
      <c r="G84" s="16"/>
      <c r="H84" s="29">
        <v>14336</v>
      </c>
      <c r="I84" s="29">
        <f t="shared" si="6"/>
        <v>0</v>
      </c>
    </row>
    <row r="85" spans="1:9" ht="15" x14ac:dyDescent="0.2">
      <c r="A85" s="18"/>
      <c r="B85" s="20" t="s">
        <v>80</v>
      </c>
      <c r="C85" s="14"/>
      <c r="D85" s="14"/>
      <c r="E85" s="14"/>
      <c r="F85" s="16"/>
      <c r="G85" s="16"/>
      <c r="H85" s="29">
        <v>10397</v>
      </c>
      <c r="I85" s="29">
        <f t="shared" si="6"/>
        <v>0</v>
      </c>
    </row>
    <row r="86" spans="1:9" ht="15" x14ac:dyDescent="0.2">
      <c r="A86" s="18"/>
      <c r="B86" s="20" t="s">
        <v>80</v>
      </c>
      <c r="C86" s="14"/>
      <c r="D86" s="14"/>
      <c r="E86" s="14"/>
      <c r="F86" s="16"/>
      <c r="G86" s="16"/>
      <c r="H86" s="29">
        <v>10397</v>
      </c>
      <c r="I86" s="29">
        <f t="shared" si="6"/>
        <v>0</v>
      </c>
    </row>
    <row r="87" spans="1:9" ht="15" x14ac:dyDescent="0.2">
      <c r="A87" s="18"/>
      <c r="B87" s="20" t="s">
        <v>79</v>
      </c>
      <c r="C87" s="14"/>
      <c r="D87" s="14"/>
      <c r="E87" s="14"/>
      <c r="F87" s="16"/>
      <c r="G87" s="16"/>
      <c r="H87" s="29">
        <v>10397</v>
      </c>
      <c r="I87" s="29">
        <f t="shared" si="6"/>
        <v>0</v>
      </c>
    </row>
    <row r="88" spans="1:9" x14ac:dyDescent="0.25">
      <c r="A88" s="15"/>
      <c r="B88" s="18"/>
      <c r="C88" s="18"/>
      <c r="D88" s="18"/>
      <c r="E88" s="19"/>
      <c r="F88" s="22" t="s">
        <v>72</v>
      </c>
      <c r="G88" s="22">
        <f>SUM(G80:G87)/8</f>
        <v>0.84749999999999992</v>
      </c>
      <c r="H88" s="22"/>
      <c r="I88" s="18"/>
    </row>
    <row r="89" spans="1:9" x14ac:dyDescent="0.25">
      <c r="A89" s="15"/>
      <c r="B89" s="132" t="s">
        <v>7</v>
      </c>
      <c r="C89" s="132"/>
      <c r="D89" s="132"/>
      <c r="E89" s="132"/>
      <c r="F89" s="132"/>
      <c r="G89" s="132"/>
      <c r="H89" s="132"/>
      <c r="I89" s="132"/>
    </row>
    <row r="90" spans="1:9" x14ac:dyDescent="0.25">
      <c r="A90" s="15"/>
      <c r="B90" s="39" t="s">
        <v>0</v>
      </c>
      <c r="C90" s="39" t="s">
        <v>64</v>
      </c>
      <c r="D90" s="42" t="s">
        <v>13</v>
      </c>
      <c r="E90" s="39" t="s">
        <v>71</v>
      </c>
      <c r="F90" s="39" t="s">
        <v>66</v>
      </c>
      <c r="G90" s="39" t="s">
        <v>2</v>
      </c>
      <c r="H90" s="28" t="s">
        <v>50</v>
      </c>
      <c r="I90" s="28" t="s">
        <v>3</v>
      </c>
    </row>
    <row r="91" spans="1:9" x14ac:dyDescent="0.25">
      <c r="A91" s="15"/>
      <c r="B91" s="20" t="s">
        <v>78</v>
      </c>
      <c r="C91" s="14">
        <v>1</v>
      </c>
      <c r="D91" s="14"/>
      <c r="E91" s="14">
        <v>2</v>
      </c>
      <c r="F91" s="16">
        <v>2</v>
      </c>
      <c r="G91" s="16">
        <v>16</v>
      </c>
      <c r="H91" s="29">
        <v>14336</v>
      </c>
      <c r="I91" s="29">
        <f>+H91*G91</f>
        <v>229376</v>
      </c>
    </row>
    <row r="92" spans="1:9" ht="15" x14ac:dyDescent="0.2">
      <c r="A92" s="18"/>
      <c r="B92" s="20" t="s">
        <v>63</v>
      </c>
      <c r="C92" s="14">
        <v>2.2599999999999998</v>
      </c>
      <c r="D92" s="14" t="s">
        <v>41</v>
      </c>
      <c r="E92" s="14"/>
      <c r="F92" s="16"/>
      <c r="G92" s="16"/>
      <c r="H92" s="29">
        <v>14336</v>
      </c>
      <c r="I92" s="29"/>
    </row>
    <row r="93" spans="1:9" ht="15" x14ac:dyDescent="0.2">
      <c r="A93" s="18"/>
      <c r="B93" s="20" t="s">
        <v>67</v>
      </c>
      <c r="C93" s="14"/>
      <c r="D93" s="14"/>
      <c r="E93" s="14"/>
      <c r="F93" s="16"/>
      <c r="G93" s="16"/>
      <c r="H93" s="29">
        <v>14336</v>
      </c>
      <c r="I93" s="29"/>
    </row>
    <row r="94" spans="1:9" ht="15" x14ac:dyDescent="0.2">
      <c r="A94" s="18"/>
      <c r="B94" s="20" t="s">
        <v>68</v>
      </c>
      <c r="C94" s="14"/>
      <c r="D94" s="14"/>
      <c r="E94" s="14"/>
      <c r="F94" s="16"/>
      <c r="G94" s="16"/>
      <c r="H94" s="29">
        <v>14336</v>
      </c>
      <c r="I94" s="29"/>
    </row>
    <row r="95" spans="1:9" ht="15" x14ac:dyDescent="0.2">
      <c r="A95" s="18"/>
      <c r="B95" s="20" t="s">
        <v>88</v>
      </c>
      <c r="C95" s="14"/>
      <c r="D95" s="14"/>
      <c r="E95" s="14"/>
      <c r="F95" s="16"/>
      <c r="G95" s="16"/>
      <c r="H95" s="29">
        <v>14336</v>
      </c>
      <c r="I95" s="29"/>
    </row>
    <row r="96" spans="1:9" ht="15" x14ac:dyDescent="0.2">
      <c r="A96" s="18"/>
      <c r="B96" s="20" t="s">
        <v>69</v>
      </c>
      <c r="C96" s="14"/>
      <c r="D96" s="14"/>
      <c r="E96" s="14"/>
      <c r="F96" s="16"/>
      <c r="G96" s="16"/>
      <c r="H96" s="29">
        <v>14336</v>
      </c>
      <c r="I96" s="29"/>
    </row>
    <row r="97" spans="1:11" ht="15" x14ac:dyDescent="0.2">
      <c r="A97" s="18"/>
      <c r="B97" s="20" t="s">
        <v>70</v>
      </c>
      <c r="C97" s="14"/>
      <c r="D97" s="14"/>
      <c r="E97" s="14"/>
      <c r="F97" s="16"/>
      <c r="G97" s="16"/>
      <c r="H97" s="29">
        <v>14336</v>
      </c>
      <c r="I97" s="29"/>
    </row>
    <row r="98" spans="1:11" ht="15" x14ac:dyDescent="0.2">
      <c r="A98" s="18"/>
      <c r="B98" s="20" t="s">
        <v>81</v>
      </c>
      <c r="C98" s="26"/>
      <c r="D98" s="26"/>
      <c r="E98" s="26"/>
      <c r="F98" s="16"/>
      <c r="G98" s="16">
        <v>6</v>
      </c>
      <c r="H98" s="29">
        <v>14336</v>
      </c>
      <c r="I98" s="29"/>
    </row>
    <row r="99" spans="1:11" x14ac:dyDescent="0.25">
      <c r="A99" s="15"/>
      <c r="B99" s="18"/>
      <c r="C99" s="18"/>
      <c r="D99" s="18"/>
      <c r="E99" s="19"/>
      <c r="F99" s="22" t="s">
        <v>73</v>
      </c>
      <c r="G99" s="22">
        <f>SUM(G92:G97)/8/2</f>
        <v>0</v>
      </c>
      <c r="H99" s="22"/>
      <c r="I99" s="18"/>
    </row>
    <row r="100" spans="1:11" x14ac:dyDescent="0.25">
      <c r="F100" s="40"/>
      <c r="G100" s="40"/>
      <c r="H100" s="40"/>
    </row>
    <row r="101" spans="1:11" ht="20.25" x14ac:dyDescent="0.3">
      <c r="F101" s="94" t="s">
        <v>109</v>
      </c>
      <c r="G101" s="94"/>
      <c r="H101" s="94"/>
      <c r="I101" s="95">
        <f>SUM(I65:I99)</f>
        <v>229376</v>
      </c>
    </row>
    <row r="102" spans="1:11" ht="20.25" x14ac:dyDescent="0.3">
      <c r="F102" s="96" t="s">
        <v>110</v>
      </c>
      <c r="G102" s="96"/>
      <c r="H102" s="97">
        <v>0.1</v>
      </c>
      <c r="I102" s="98">
        <f>+I101*H102</f>
        <v>22937.600000000002</v>
      </c>
      <c r="K102" s="103">
        <f>15000*44</f>
        <v>660000</v>
      </c>
    </row>
    <row r="103" spans="1:11" ht="20.25" x14ac:dyDescent="0.3">
      <c r="F103" s="96" t="s">
        <v>111</v>
      </c>
      <c r="G103" s="96"/>
      <c r="H103" s="99">
        <v>0.35</v>
      </c>
      <c r="I103" s="98">
        <f>+I101*H103</f>
        <v>80281.599999999991</v>
      </c>
    </row>
    <row r="104" spans="1:11" ht="20.25" x14ac:dyDescent="0.3">
      <c r="F104" s="96" t="s">
        <v>112</v>
      </c>
      <c r="G104" s="96"/>
      <c r="H104" s="99">
        <v>0.32</v>
      </c>
      <c r="I104" s="98">
        <f>+I101*H104</f>
        <v>73400.320000000007</v>
      </c>
    </row>
    <row r="105" spans="1:11" ht="20.25" x14ac:dyDescent="0.3">
      <c r="F105" s="100" t="s">
        <v>12</v>
      </c>
      <c r="G105" s="100"/>
      <c r="H105" s="100"/>
      <c r="I105" s="101">
        <f>SUM(I101:I104)</f>
        <v>405995.52000000002</v>
      </c>
      <c r="K105" s="12">
        <f>12000*44</f>
        <v>528000</v>
      </c>
    </row>
    <row r="106" spans="1:11" ht="20.25" x14ac:dyDescent="0.3">
      <c r="F106" s="100"/>
      <c r="G106" s="100"/>
      <c r="H106" s="102">
        <v>0.19</v>
      </c>
      <c r="I106" s="103">
        <f>+I105*H106</f>
        <v>77139.14880000001</v>
      </c>
    </row>
    <row r="107" spans="1:11" ht="20.25" x14ac:dyDescent="0.3">
      <c r="F107" s="100"/>
      <c r="G107" s="100"/>
      <c r="H107" s="104" t="s">
        <v>113</v>
      </c>
      <c r="I107" s="103">
        <f>+I105+I106</f>
        <v>483134.66880000004</v>
      </c>
    </row>
    <row r="108" spans="1:11" ht="20.25" x14ac:dyDescent="0.3">
      <c r="F108" s="100" t="s">
        <v>114</v>
      </c>
      <c r="G108" s="100"/>
      <c r="H108" s="102">
        <v>0.1</v>
      </c>
      <c r="I108" s="103">
        <f>+I107*H108</f>
        <v>48313.466880000007</v>
      </c>
    </row>
    <row r="109" spans="1:11" ht="20.25" x14ac:dyDescent="0.3">
      <c r="F109" s="100" t="s">
        <v>115</v>
      </c>
      <c r="G109" s="100"/>
      <c r="H109" s="104"/>
      <c r="I109" s="103">
        <f>+I107+I108</f>
        <v>531448.13568000006</v>
      </c>
    </row>
    <row r="110" spans="1:11" x14ac:dyDescent="0.25">
      <c r="F110" s="40"/>
      <c r="G110" s="40"/>
      <c r="H110" s="40"/>
    </row>
    <row r="111" spans="1:11" x14ac:dyDescent="0.25">
      <c r="F111" s="40"/>
      <c r="G111" s="40"/>
      <c r="H111" s="40"/>
    </row>
    <row r="112" spans="1:11" x14ac:dyDescent="0.25">
      <c r="F112" s="40"/>
      <c r="G112" s="40"/>
      <c r="H112" s="40"/>
    </row>
    <row r="113" spans="6:8" x14ac:dyDescent="0.25">
      <c r="F113" s="40"/>
      <c r="G113" s="40"/>
      <c r="H113" s="40"/>
    </row>
    <row r="114" spans="6:8" x14ac:dyDescent="0.25">
      <c r="F114" s="40"/>
      <c r="G114" s="40"/>
      <c r="H114" s="40"/>
    </row>
    <row r="115" spans="6:8" x14ac:dyDescent="0.25">
      <c r="F115" s="40"/>
      <c r="G115" s="40"/>
      <c r="H115" s="40"/>
    </row>
    <row r="116" spans="6:8" x14ac:dyDescent="0.25">
      <c r="F116" s="40"/>
      <c r="G116" s="40"/>
      <c r="H116" s="40"/>
    </row>
    <row r="117" spans="6:8" x14ac:dyDescent="0.25">
      <c r="F117" s="40"/>
      <c r="G117" s="40"/>
      <c r="H117" s="40"/>
    </row>
    <row r="118" spans="6:8" x14ac:dyDescent="0.25">
      <c r="F118" s="40"/>
      <c r="G118" s="40"/>
      <c r="H118" s="40"/>
    </row>
    <row r="119" spans="6:8" x14ac:dyDescent="0.25">
      <c r="F119" s="40"/>
      <c r="G119" s="40"/>
      <c r="H119" s="40"/>
    </row>
    <row r="120" spans="6:8" x14ac:dyDescent="0.25">
      <c r="F120" s="40"/>
      <c r="G120" s="40"/>
      <c r="H120" s="40"/>
    </row>
    <row r="121" spans="6:8" x14ac:dyDescent="0.25">
      <c r="F121" s="40"/>
      <c r="G121" s="40"/>
      <c r="H121" s="40"/>
    </row>
    <row r="122" spans="6:8" x14ac:dyDescent="0.25">
      <c r="F122" s="40"/>
      <c r="G122" s="40"/>
      <c r="H122" s="40"/>
    </row>
    <row r="123" spans="6:8" x14ac:dyDescent="0.25">
      <c r="F123" s="40"/>
      <c r="G123" s="40"/>
      <c r="H123" s="40"/>
    </row>
    <row r="124" spans="6:8" x14ac:dyDescent="0.25">
      <c r="F124" s="40"/>
      <c r="G124" s="40"/>
      <c r="H124" s="40"/>
    </row>
    <row r="125" spans="6:8" x14ac:dyDescent="0.25">
      <c r="F125" s="40"/>
      <c r="G125" s="40"/>
      <c r="H125" s="40"/>
    </row>
    <row r="126" spans="6:8" x14ac:dyDescent="0.25">
      <c r="F126" s="40"/>
      <c r="G126" s="40"/>
      <c r="H126" s="40"/>
    </row>
    <row r="127" spans="6:8" x14ac:dyDescent="0.25">
      <c r="F127" s="40"/>
      <c r="G127" s="40"/>
      <c r="H127" s="40"/>
    </row>
    <row r="128" spans="6:8" x14ac:dyDescent="0.25">
      <c r="F128" s="40"/>
      <c r="G128" s="40"/>
      <c r="H128" s="40"/>
    </row>
    <row r="129" spans="6:8" x14ac:dyDescent="0.25">
      <c r="F129" s="40"/>
      <c r="G129" s="40"/>
      <c r="H129" s="40"/>
    </row>
    <row r="130" spans="6:8" x14ac:dyDescent="0.25">
      <c r="F130" s="40"/>
      <c r="G130" s="40"/>
      <c r="H130" s="40"/>
    </row>
    <row r="131" spans="6:8" x14ac:dyDescent="0.25">
      <c r="F131" s="40"/>
      <c r="G131" s="40"/>
      <c r="H131" s="40"/>
    </row>
    <row r="132" spans="6:8" x14ac:dyDescent="0.25">
      <c r="F132" s="40"/>
      <c r="G132" s="40"/>
      <c r="H132" s="40"/>
    </row>
    <row r="133" spans="6:8" x14ac:dyDescent="0.25">
      <c r="F133" s="40"/>
      <c r="G133" s="40"/>
      <c r="H133" s="40"/>
    </row>
    <row r="134" spans="6:8" x14ac:dyDescent="0.25">
      <c r="F134" s="40"/>
      <c r="G134" s="40"/>
      <c r="H134" s="40"/>
    </row>
    <row r="135" spans="6:8" x14ac:dyDescent="0.25">
      <c r="F135" s="40"/>
      <c r="G135" s="40"/>
      <c r="H135" s="40"/>
    </row>
    <row r="136" spans="6:8" x14ac:dyDescent="0.25">
      <c r="F136" s="40"/>
      <c r="G136" s="40"/>
      <c r="H136" s="40"/>
    </row>
    <row r="137" spans="6:8" x14ac:dyDescent="0.25">
      <c r="F137" s="40"/>
      <c r="G137" s="40"/>
      <c r="H137" s="40"/>
    </row>
    <row r="138" spans="6:8" x14ac:dyDescent="0.25">
      <c r="F138" s="40"/>
      <c r="G138" s="40"/>
      <c r="H138" s="40"/>
    </row>
    <row r="139" spans="6:8" x14ac:dyDescent="0.25">
      <c r="F139" s="40"/>
      <c r="G139" s="40"/>
      <c r="H139" s="40"/>
    </row>
    <row r="140" spans="6:8" x14ac:dyDescent="0.25">
      <c r="F140" s="40"/>
      <c r="G140" s="40"/>
      <c r="H140" s="40"/>
    </row>
    <row r="141" spans="6:8" x14ac:dyDescent="0.25">
      <c r="F141" s="40"/>
      <c r="G141" s="40"/>
      <c r="H141" s="40"/>
    </row>
    <row r="142" spans="6:8" x14ac:dyDescent="0.25">
      <c r="F142" s="40"/>
      <c r="G142" s="40"/>
      <c r="H142" s="40"/>
    </row>
    <row r="143" spans="6:8" x14ac:dyDescent="0.25">
      <c r="F143" s="40"/>
      <c r="G143" s="40"/>
      <c r="H143" s="40"/>
    </row>
    <row r="144" spans="6:8" x14ac:dyDescent="0.25">
      <c r="F144" s="40"/>
      <c r="G144" s="40"/>
      <c r="H144" s="40"/>
    </row>
    <row r="145" spans="6:8" x14ac:dyDescent="0.25">
      <c r="F145" s="40"/>
      <c r="G145" s="40"/>
      <c r="H145" s="40"/>
    </row>
    <row r="146" spans="6:8" x14ac:dyDescent="0.25">
      <c r="F146" s="40"/>
      <c r="G146" s="40"/>
      <c r="H146" s="40"/>
    </row>
    <row r="147" spans="6:8" x14ac:dyDescent="0.25">
      <c r="F147" s="40"/>
      <c r="G147" s="40"/>
      <c r="H147" s="40"/>
    </row>
    <row r="148" spans="6:8" x14ac:dyDescent="0.25">
      <c r="F148" s="40"/>
      <c r="G148" s="40"/>
      <c r="H148" s="40"/>
    </row>
    <row r="149" spans="6:8" x14ac:dyDescent="0.25">
      <c r="F149" s="40"/>
      <c r="G149" s="40"/>
      <c r="H149" s="40"/>
    </row>
    <row r="150" spans="6:8" x14ac:dyDescent="0.25">
      <c r="F150" s="40"/>
      <c r="G150" s="40"/>
      <c r="H150" s="40"/>
    </row>
    <row r="151" spans="6:8" x14ac:dyDescent="0.25">
      <c r="F151" s="40"/>
      <c r="G151" s="40"/>
      <c r="H151" s="40"/>
    </row>
    <row r="152" spans="6:8" x14ac:dyDescent="0.25">
      <c r="F152" s="40"/>
      <c r="G152" s="40"/>
      <c r="H152" s="40"/>
    </row>
    <row r="153" spans="6:8" x14ac:dyDescent="0.25">
      <c r="F153" s="40"/>
      <c r="G153" s="40"/>
      <c r="H153" s="40"/>
    </row>
    <row r="154" spans="6:8" x14ac:dyDescent="0.25">
      <c r="F154" s="40"/>
      <c r="G154" s="40"/>
      <c r="H154" s="40"/>
    </row>
    <row r="155" spans="6:8" x14ac:dyDescent="0.25">
      <c r="F155" s="40"/>
      <c r="G155" s="40"/>
      <c r="H155" s="40"/>
    </row>
    <row r="156" spans="6:8" x14ac:dyDescent="0.25">
      <c r="F156" s="40"/>
      <c r="G156" s="40"/>
      <c r="H156" s="40"/>
    </row>
    <row r="157" spans="6:8" x14ac:dyDescent="0.25">
      <c r="F157" s="40"/>
      <c r="G157" s="40"/>
      <c r="H157" s="40"/>
    </row>
    <row r="158" spans="6:8" x14ac:dyDescent="0.25">
      <c r="F158" s="40"/>
      <c r="G158" s="40"/>
      <c r="H158" s="40"/>
    </row>
    <row r="159" spans="6:8" x14ac:dyDescent="0.25">
      <c r="F159" s="40"/>
      <c r="G159" s="40"/>
      <c r="H159" s="40"/>
    </row>
    <row r="160" spans="6:8" x14ac:dyDescent="0.25">
      <c r="F160" s="40"/>
      <c r="G160" s="40"/>
      <c r="H160" s="40"/>
    </row>
    <row r="161" spans="6:8" x14ac:dyDescent="0.25">
      <c r="F161" s="40"/>
      <c r="G161" s="40"/>
      <c r="H161" s="40"/>
    </row>
    <row r="162" spans="6:8" x14ac:dyDescent="0.25">
      <c r="F162" s="40"/>
      <c r="G162" s="40"/>
      <c r="H162" s="40"/>
    </row>
    <row r="163" spans="6:8" x14ac:dyDescent="0.25">
      <c r="F163" s="40"/>
      <c r="G163" s="40"/>
      <c r="H163" s="40"/>
    </row>
    <row r="164" spans="6:8" x14ac:dyDescent="0.25">
      <c r="F164" s="40"/>
      <c r="G164" s="40"/>
      <c r="H164" s="40"/>
    </row>
    <row r="165" spans="6:8" x14ac:dyDescent="0.25">
      <c r="F165" s="40"/>
      <c r="G165" s="40"/>
      <c r="H165" s="40"/>
    </row>
    <row r="166" spans="6:8" x14ac:dyDescent="0.25">
      <c r="F166" s="40"/>
      <c r="G166" s="40"/>
      <c r="H166" s="40"/>
    </row>
    <row r="167" spans="6:8" x14ac:dyDescent="0.25">
      <c r="F167" s="40"/>
      <c r="G167" s="40"/>
      <c r="H167" s="40"/>
    </row>
    <row r="168" spans="6:8" x14ac:dyDescent="0.25">
      <c r="F168" s="40"/>
      <c r="G168" s="40"/>
      <c r="H168" s="40"/>
    </row>
    <row r="169" spans="6:8" x14ac:dyDescent="0.25">
      <c r="F169" s="40"/>
      <c r="G169" s="40"/>
      <c r="H169" s="40"/>
    </row>
    <row r="170" spans="6:8" x14ac:dyDescent="0.25">
      <c r="F170" s="40"/>
      <c r="G170" s="40"/>
      <c r="H170" s="40"/>
    </row>
    <row r="171" spans="6:8" x14ac:dyDescent="0.25">
      <c r="F171" s="40"/>
      <c r="G171" s="40"/>
      <c r="H171" s="40"/>
    </row>
    <row r="172" spans="6:8" x14ac:dyDescent="0.25">
      <c r="F172" s="40"/>
      <c r="G172" s="40"/>
      <c r="H172" s="40"/>
    </row>
    <row r="173" spans="6:8" x14ac:dyDescent="0.25">
      <c r="F173" s="40"/>
      <c r="G173" s="40"/>
      <c r="H173" s="40"/>
    </row>
    <row r="174" spans="6:8" x14ac:dyDescent="0.25">
      <c r="F174" s="40"/>
      <c r="G174" s="40"/>
      <c r="H174" s="40"/>
    </row>
    <row r="175" spans="6:8" x14ac:dyDescent="0.25">
      <c r="F175" s="40"/>
      <c r="G175" s="40"/>
      <c r="H175" s="40"/>
    </row>
    <row r="176" spans="6:8" x14ac:dyDescent="0.25">
      <c r="F176" s="40"/>
      <c r="G176" s="40"/>
      <c r="H176" s="40"/>
    </row>
    <row r="177" spans="6:8" x14ac:dyDescent="0.25">
      <c r="F177" s="40"/>
      <c r="G177" s="40"/>
      <c r="H177" s="40"/>
    </row>
    <row r="178" spans="6:8" x14ac:dyDescent="0.25">
      <c r="F178" s="40"/>
      <c r="G178" s="40"/>
      <c r="H178" s="40"/>
    </row>
    <row r="179" spans="6:8" x14ac:dyDescent="0.25">
      <c r="F179" s="40"/>
      <c r="G179" s="40"/>
      <c r="H179" s="40"/>
    </row>
    <row r="180" spans="6:8" x14ac:dyDescent="0.25">
      <c r="F180" s="40"/>
      <c r="G180" s="40"/>
      <c r="H180" s="40"/>
    </row>
    <row r="181" spans="6:8" x14ac:dyDescent="0.25">
      <c r="F181" s="40"/>
      <c r="G181" s="40"/>
      <c r="H181" s="40"/>
    </row>
    <row r="182" spans="6:8" x14ac:dyDescent="0.25">
      <c r="F182" s="40"/>
      <c r="G182" s="40"/>
      <c r="H182" s="40"/>
    </row>
    <row r="183" spans="6:8" x14ac:dyDescent="0.25">
      <c r="F183" s="40"/>
      <c r="G183" s="40"/>
      <c r="H183" s="40"/>
    </row>
    <row r="184" spans="6:8" x14ac:dyDescent="0.25">
      <c r="F184" s="40"/>
      <c r="G184" s="40"/>
      <c r="H184" s="40"/>
    </row>
    <row r="185" spans="6:8" x14ac:dyDescent="0.25">
      <c r="F185" s="40"/>
      <c r="G185" s="40"/>
      <c r="H185" s="40"/>
    </row>
    <row r="186" spans="6:8" x14ac:dyDescent="0.25">
      <c r="F186" s="40"/>
      <c r="G186" s="40"/>
      <c r="H186" s="40"/>
    </row>
    <row r="187" spans="6:8" x14ac:dyDescent="0.25">
      <c r="F187" s="40"/>
      <c r="G187" s="40"/>
      <c r="H187" s="40"/>
    </row>
    <row r="188" spans="6:8" x14ac:dyDescent="0.25">
      <c r="F188" s="40"/>
      <c r="G188" s="40"/>
      <c r="H188" s="40"/>
    </row>
    <row r="189" spans="6:8" x14ac:dyDescent="0.25">
      <c r="F189" s="40"/>
      <c r="G189" s="40"/>
      <c r="H189" s="40"/>
    </row>
    <row r="190" spans="6:8" x14ac:dyDescent="0.25">
      <c r="F190" s="40"/>
      <c r="G190" s="40"/>
      <c r="H190" s="40"/>
    </row>
    <row r="191" spans="6:8" x14ac:dyDescent="0.25">
      <c r="F191" s="40"/>
      <c r="G191" s="40"/>
      <c r="H191" s="40"/>
    </row>
    <row r="192" spans="6:8" x14ac:dyDescent="0.25">
      <c r="F192" s="40"/>
      <c r="G192" s="40"/>
      <c r="H192" s="40"/>
    </row>
    <row r="193" spans="6:8" x14ac:dyDescent="0.25">
      <c r="F193" s="40"/>
      <c r="G193" s="40"/>
      <c r="H193" s="40"/>
    </row>
    <row r="194" spans="6:8" x14ac:dyDescent="0.25">
      <c r="F194" s="40"/>
      <c r="G194" s="40"/>
      <c r="H194" s="40"/>
    </row>
    <row r="195" spans="6:8" x14ac:dyDescent="0.25">
      <c r="F195" s="40"/>
      <c r="G195" s="40"/>
      <c r="H195" s="40"/>
    </row>
    <row r="196" spans="6:8" x14ac:dyDescent="0.25">
      <c r="F196" s="40"/>
      <c r="G196" s="40"/>
      <c r="H196" s="40"/>
    </row>
    <row r="197" spans="6:8" x14ac:dyDescent="0.25">
      <c r="F197" s="40"/>
      <c r="G197" s="40"/>
      <c r="H197" s="40"/>
    </row>
    <row r="198" spans="6:8" x14ac:dyDescent="0.25">
      <c r="F198" s="40"/>
      <c r="G198" s="40"/>
      <c r="H198" s="40"/>
    </row>
    <row r="199" spans="6:8" x14ac:dyDescent="0.25">
      <c r="F199" s="40"/>
      <c r="G199" s="40"/>
      <c r="H199" s="40"/>
    </row>
    <row r="200" spans="6:8" x14ac:dyDescent="0.25">
      <c r="F200" s="40"/>
      <c r="G200" s="40"/>
      <c r="H200" s="40"/>
    </row>
    <row r="201" spans="6:8" x14ac:dyDescent="0.25">
      <c r="F201" s="40"/>
      <c r="G201" s="40"/>
      <c r="H201" s="40"/>
    </row>
    <row r="202" spans="6:8" x14ac:dyDescent="0.25">
      <c r="F202" s="40"/>
      <c r="G202" s="40"/>
      <c r="H202" s="40"/>
    </row>
    <row r="203" spans="6:8" x14ac:dyDescent="0.25">
      <c r="F203" s="40"/>
      <c r="G203" s="40"/>
      <c r="H203" s="40"/>
    </row>
    <row r="204" spans="6:8" x14ac:dyDescent="0.25">
      <c r="F204" s="40"/>
      <c r="G204" s="40"/>
      <c r="H204" s="40"/>
    </row>
    <row r="205" spans="6:8" x14ac:dyDescent="0.25">
      <c r="F205" s="40"/>
      <c r="G205" s="40"/>
      <c r="H205" s="40"/>
    </row>
    <row r="206" spans="6:8" x14ac:dyDescent="0.25">
      <c r="F206" s="40"/>
      <c r="G206" s="40"/>
      <c r="H206" s="40"/>
    </row>
    <row r="207" spans="6:8" x14ac:dyDescent="0.25">
      <c r="F207" s="40"/>
      <c r="G207" s="40"/>
      <c r="H207" s="40"/>
    </row>
    <row r="208" spans="6:8" x14ac:dyDescent="0.25">
      <c r="F208" s="40"/>
      <c r="G208" s="40"/>
      <c r="H208" s="40"/>
    </row>
    <row r="209" spans="6:8" x14ac:dyDescent="0.25">
      <c r="F209" s="40"/>
      <c r="G209" s="40"/>
      <c r="H209" s="40"/>
    </row>
    <row r="210" spans="6:8" x14ac:dyDescent="0.25">
      <c r="F210" s="40"/>
      <c r="G210" s="40"/>
      <c r="H210" s="40"/>
    </row>
    <row r="211" spans="6:8" x14ac:dyDescent="0.25">
      <c r="F211" s="40"/>
      <c r="G211" s="40"/>
      <c r="H211" s="40"/>
    </row>
    <row r="212" spans="6:8" x14ac:dyDescent="0.25">
      <c r="F212" s="40"/>
      <c r="G212" s="40"/>
      <c r="H212" s="40"/>
    </row>
    <row r="213" spans="6:8" x14ac:dyDescent="0.25">
      <c r="F213" s="40"/>
      <c r="G213" s="40"/>
      <c r="H213" s="40"/>
    </row>
    <row r="214" spans="6:8" x14ac:dyDescent="0.25">
      <c r="F214" s="40"/>
      <c r="G214" s="40"/>
      <c r="H214" s="40"/>
    </row>
    <row r="215" spans="6:8" x14ac:dyDescent="0.25">
      <c r="F215" s="40"/>
      <c r="G215" s="40"/>
      <c r="H215" s="40"/>
    </row>
    <row r="216" spans="6:8" x14ac:dyDescent="0.25">
      <c r="F216" s="40"/>
      <c r="G216" s="40"/>
      <c r="H216" s="40"/>
    </row>
    <row r="217" spans="6:8" x14ac:dyDescent="0.25">
      <c r="F217" s="40"/>
      <c r="G217" s="40"/>
      <c r="H217" s="40"/>
    </row>
    <row r="218" spans="6:8" x14ac:dyDescent="0.25">
      <c r="F218" s="40"/>
      <c r="G218" s="40"/>
      <c r="H218" s="40"/>
    </row>
    <row r="219" spans="6:8" x14ac:dyDescent="0.25">
      <c r="F219" s="40"/>
      <c r="G219" s="40"/>
      <c r="H219" s="40"/>
    </row>
    <row r="220" spans="6:8" x14ac:dyDescent="0.25">
      <c r="F220" s="40"/>
      <c r="G220" s="40"/>
      <c r="H220" s="40"/>
    </row>
    <row r="221" spans="6:8" x14ac:dyDescent="0.25">
      <c r="F221" s="40"/>
      <c r="G221" s="40"/>
      <c r="H221" s="40"/>
    </row>
    <row r="222" spans="6:8" x14ac:dyDescent="0.25">
      <c r="F222" s="40"/>
      <c r="G222" s="40"/>
      <c r="H222" s="40"/>
    </row>
    <row r="223" spans="6:8" x14ac:dyDescent="0.25">
      <c r="F223" s="40"/>
      <c r="G223" s="40"/>
      <c r="H223" s="40"/>
    </row>
    <row r="224" spans="6:8" x14ac:dyDescent="0.25">
      <c r="F224" s="40"/>
      <c r="G224" s="40"/>
      <c r="H224" s="40"/>
    </row>
    <row r="225" spans="6:8" x14ac:dyDescent="0.25">
      <c r="F225" s="40"/>
      <c r="G225" s="40"/>
      <c r="H225" s="40"/>
    </row>
    <row r="226" spans="6:8" x14ac:dyDescent="0.25">
      <c r="F226" s="40"/>
      <c r="G226" s="40"/>
      <c r="H226" s="40"/>
    </row>
    <row r="227" spans="6:8" x14ac:dyDescent="0.25">
      <c r="F227" s="40"/>
      <c r="G227" s="40"/>
      <c r="H227" s="40"/>
    </row>
    <row r="228" spans="6:8" x14ac:dyDescent="0.25">
      <c r="F228" s="40"/>
      <c r="G228" s="40"/>
      <c r="H228" s="40"/>
    </row>
    <row r="229" spans="6:8" x14ac:dyDescent="0.25">
      <c r="F229" s="40"/>
      <c r="G229" s="40"/>
      <c r="H229" s="40"/>
    </row>
    <row r="230" spans="6:8" x14ac:dyDescent="0.25">
      <c r="F230" s="40"/>
      <c r="G230" s="40"/>
      <c r="H230" s="40"/>
    </row>
    <row r="231" spans="6:8" x14ac:dyDescent="0.25">
      <c r="F231" s="40"/>
      <c r="G231" s="40"/>
      <c r="H231" s="40"/>
    </row>
    <row r="232" spans="6:8" x14ac:dyDescent="0.25">
      <c r="F232" s="40"/>
      <c r="G232" s="40"/>
      <c r="H232" s="40"/>
    </row>
    <row r="233" spans="6:8" x14ac:dyDescent="0.25">
      <c r="F233" s="40"/>
      <c r="G233" s="40"/>
      <c r="H233" s="40"/>
    </row>
    <row r="234" spans="6:8" x14ac:dyDescent="0.25">
      <c r="F234" s="40"/>
      <c r="G234" s="40"/>
      <c r="H234" s="40"/>
    </row>
    <row r="235" spans="6:8" x14ac:dyDescent="0.25">
      <c r="F235" s="40"/>
      <c r="G235" s="40"/>
      <c r="H235" s="40"/>
    </row>
    <row r="236" spans="6:8" x14ac:dyDescent="0.25">
      <c r="F236" s="40"/>
      <c r="G236" s="40"/>
      <c r="H236" s="40"/>
    </row>
    <row r="237" spans="6:8" x14ac:dyDescent="0.25">
      <c r="F237" s="40"/>
      <c r="G237" s="40"/>
      <c r="H237" s="40"/>
    </row>
    <row r="238" spans="6:8" x14ac:dyDescent="0.25">
      <c r="F238" s="40"/>
      <c r="G238" s="40"/>
      <c r="H238" s="40"/>
    </row>
    <row r="239" spans="6:8" x14ac:dyDescent="0.25">
      <c r="F239" s="40"/>
      <c r="G239" s="40"/>
      <c r="H239" s="40"/>
    </row>
    <row r="240" spans="6:8" x14ac:dyDescent="0.25">
      <c r="F240" s="40"/>
      <c r="G240" s="40"/>
      <c r="H240" s="40"/>
    </row>
    <row r="241" spans="6:8" x14ac:dyDescent="0.25">
      <c r="F241" s="40"/>
      <c r="G241" s="40"/>
      <c r="H241" s="40"/>
    </row>
    <row r="242" spans="6:8" x14ac:dyDescent="0.25">
      <c r="F242" s="40"/>
      <c r="G242" s="40"/>
      <c r="H242" s="40"/>
    </row>
    <row r="243" spans="6:8" x14ac:dyDescent="0.25">
      <c r="F243" s="40"/>
      <c r="G243" s="40"/>
      <c r="H243" s="40"/>
    </row>
    <row r="244" spans="6:8" x14ac:dyDescent="0.25">
      <c r="F244" s="40"/>
      <c r="G244" s="40"/>
      <c r="H244" s="40"/>
    </row>
    <row r="245" spans="6:8" x14ac:dyDescent="0.25">
      <c r="F245" s="40"/>
      <c r="G245" s="40"/>
      <c r="H245" s="40"/>
    </row>
    <row r="246" spans="6:8" x14ac:dyDescent="0.25">
      <c r="F246" s="40"/>
      <c r="G246" s="40"/>
      <c r="H246" s="40"/>
    </row>
    <row r="247" spans="6:8" x14ac:dyDescent="0.25">
      <c r="F247" s="40"/>
      <c r="G247" s="40"/>
      <c r="H247" s="40"/>
    </row>
    <row r="248" spans="6:8" x14ac:dyDescent="0.25">
      <c r="F248" s="40"/>
      <c r="G248" s="40"/>
      <c r="H248" s="40"/>
    </row>
    <row r="249" spans="6:8" x14ac:dyDescent="0.25">
      <c r="F249" s="40"/>
      <c r="G249" s="40"/>
      <c r="H249" s="40"/>
    </row>
    <row r="250" spans="6:8" x14ac:dyDescent="0.25">
      <c r="F250" s="40"/>
      <c r="G250" s="40"/>
      <c r="H250" s="40"/>
    </row>
    <row r="251" spans="6:8" x14ac:dyDescent="0.25">
      <c r="F251" s="40"/>
      <c r="G251" s="40"/>
      <c r="H251" s="40"/>
    </row>
    <row r="252" spans="6:8" x14ac:dyDescent="0.25">
      <c r="F252" s="40"/>
      <c r="G252" s="40"/>
      <c r="H252" s="40"/>
    </row>
    <row r="253" spans="6:8" x14ac:dyDescent="0.25">
      <c r="F253" s="40"/>
      <c r="G253" s="40"/>
      <c r="H253" s="40"/>
    </row>
    <row r="254" spans="6:8" x14ac:dyDescent="0.25">
      <c r="F254" s="40"/>
      <c r="G254" s="40"/>
      <c r="H254" s="40"/>
    </row>
    <row r="255" spans="6:8" x14ac:dyDescent="0.25">
      <c r="F255" s="40"/>
      <c r="G255" s="40"/>
      <c r="H255" s="40"/>
    </row>
    <row r="256" spans="6:8" x14ac:dyDescent="0.25">
      <c r="F256" s="40"/>
      <c r="G256" s="40"/>
      <c r="H256" s="40"/>
    </row>
    <row r="257" spans="6:8" x14ac:dyDescent="0.25">
      <c r="F257" s="40"/>
      <c r="G257" s="40"/>
      <c r="H257" s="40"/>
    </row>
    <row r="258" spans="6:8" x14ac:dyDescent="0.25">
      <c r="F258" s="40"/>
      <c r="G258" s="40"/>
      <c r="H258" s="40"/>
    </row>
    <row r="259" spans="6:8" x14ac:dyDescent="0.25">
      <c r="F259" s="40"/>
      <c r="G259" s="40"/>
      <c r="H259" s="40"/>
    </row>
    <row r="260" spans="6:8" x14ac:dyDescent="0.25">
      <c r="F260" s="40"/>
      <c r="G260" s="40"/>
      <c r="H260" s="40"/>
    </row>
    <row r="261" spans="6:8" x14ac:dyDescent="0.25">
      <c r="F261" s="40"/>
      <c r="G261" s="40"/>
      <c r="H261" s="40"/>
    </row>
  </sheetData>
  <mergeCells count="43">
    <mergeCell ref="B20:I20"/>
    <mergeCell ref="B44:I44"/>
    <mergeCell ref="B71:I71"/>
    <mergeCell ref="B78:I78"/>
    <mergeCell ref="B52:C52"/>
    <mergeCell ref="B53:C53"/>
    <mergeCell ref="B62:C62"/>
    <mergeCell ref="B59:C59"/>
    <mergeCell ref="B66:D66"/>
    <mergeCell ref="B67:D67"/>
    <mergeCell ref="B69:D69"/>
    <mergeCell ref="B70:D70"/>
    <mergeCell ref="B68:D68"/>
    <mergeCell ref="B64:D64"/>
    <mergeCell ref="B60:C60"/>
    <mergeCell ref="B61:C61"/>
    <mergeCell ref="B89:I89"/>
    <mergeCell ref="B63:I63"/>
    <mergeCell ref="B32:I32"/>
    <mergeCell ref="B33:C33"/>
    <mergeCell ref="B34:C34"/>
    <mergeCell ref="B35:C35"/>
    <mergeCell ref="B36:C36"/>
    <mergeCell ref="B37:C37"/>
    <mergeCell ref="B38:C38"/>
    <mergeCell ref="B45:C45"/>
    <mergeCell ref="B46:C46"/>
    <mergeCell ref="B47:C47"/>
    <mergeCell ref="B48:C48"/>
    <mergeCell ref="B49:C49"/>
    <mergeCell ref="B50:C50"/>
    <mergeCell ref="B51:C51"/>
    <mergeCell ref="B39:C39"/>
    <mergeCell ref="B40:C40"/>
    <mergeCell ref="B41:C41"/>
    <mergeCell ref="B42:C42"/>
    <mergeCell ref="B43:C43"/>
    <mergeCell ref="B65:D65"/>
    <mergeCell ref="B54:C54"/>
    <mergeCell ref="B55:C55"/>
    <mergeCell ref="B56:C56"/>
    <mergeCell ref="B57:C57"/>
    <mergeCell ref="B58:C58"/>
  </mergeCells>
  <hyperlinks>
    <hyperlink ref="A22" location="DESPIECE!A3" display="DESPIECE!A3" xr:uid="{E51B0760-AA3F-4513-AB5A-466E88665775}"/>
    <hyperlink ref="A23" location="DESPIECE!A4" display="DESPIECE!A4" xr:uid="{3CA8DA8E-DAB8-410E-8901-CD50820F52C9}"/>
    <hyperlink ref="A24" location="DESPIECE!A5" display="DESPIECE!A5" xr:uid="{5AF77C03-22FD-47D1-A078-7656F47CC750}"/>
    <hyperlink ref="A25" location="DESPIECE!A6" display="DESPIECE!A6" xr:uid="{B0F63702-AB92-4249-8947-4A0276742AA8}"/>
    <hyperlink ref="A26" location="DESPIECE!A7" display="DESPIECE!A7" xr:uid="{E1638FAB-025B-4AE3-A7B5-9E9803674A35}"/>
    <hyperlink ref="A34" location="DESPIECE!A16" display="DESPIECE!A16" xr:uid="{9B206348-F618-41B2-9EE2-BC70EDAF7268}"/>
    <hyperlink ref="A35" location="DESPIECE!A17" display="DESPIECE!A17" xr:uid="{5D8C519D-0EF3-440F-9A5B-A74CD2445837}"/>
    <hyperlink ref="A36" location="DESPIECE!A18" display="DESPIECE!A18" xr:uid="{3AA9BDCD-ED8B-470A-ACE1-E62271E27DF5}"/>
    <hyperlink ref="A37" location="DESPIECE!A19" display="DESPIECE!A19" xr:uid="{57D72954-63F7-47D0-AD7E-5AC00E9C5304}"/>
    <hyperlink ref="A38" location="DESPIECE!A20" display="DESPIECE!A20" xr:uid="{4FB17260-2082-48BE-8163-13F062ACD739}"/>
    <hyperlink ref="A27" location="DESPIECE!A8" display="DESPIECE!A8" xr:uid="{0F5741B8-4DBC-4FA1-A0BD-0F9DF354724E}"/>
    <hyperlink ref="A28" location="DESPIECE!A9" display="DESPIECE!A9" xr:uid="{9255DE63-CABC-4F27-993E-3FC0E290F69F}"/>
    <hyperlink ref="A29" location="DESPIECE!A10" display="DESPIECE!A10" xr:uid="{F7A8EF37-667D-4DC9-8F03-708A1B19F788}"/>
    <hyperlink ref="A30" location="DESPIECE!A11" display="DESPIECE!A11" xr:uid="{CCC881D2-DB0F-4181-AE5E-56E2DC651360}"/>
    <hyperlink ref="A31" location="DESPIECE!A12" display="DESPIECE!A12" xr:uid="{4927B535-FC0C-44CA-809B-291DB3E316C9}"/>
    <hyperlink ref="A39" location="DESPIECE!A21" display="DESPIECE!A21" xr:uid="{6B5367B2-20A7-4780-B53D-64046AE08C6E}"/>
    <hyperlink ref="A40" location="DESPIECE!A22" display="DESPIECE!A22" xr:uid="{D6865BB5-2D98-4F9D-8FC8-D112B92B3CF8}"/>
    <hyperlink ref="A41" location="DESPIECE!A23" display="DESPIECE!A23" xr:uid="{AA54BA22-6803-4498-B88F-595950118B06}"/>
    <hyperlink ref="A42" location="DESPIECE!A24" display="DESPIECE!A24" xr:uid="{E70CE6C0-19C7-4CC9-B84C-41F6E79C4FDF}"/>
    <hyperlink ref="A43" location="DESPIECE!A25" display="DESPIECE!A25" xr:uid="{9BB1A71A-D60F-4C12-BC31-B74655C85982}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09BE-5F97-46C7-B6E9-551B6E6C9C76}">
  <dimension ref="A1:I25"/>
  <sheetViews>
    <sheetView topLeftCell="A13" workbookViewId="0">
      <selection activeCell="D16" sqref="D16:F16"/>
    </sheetView>
  </sheetViews>
  <sheetFormatPr baseColWidth="10" defaultRowHeight="15" x14ac:dyDescent="0.25"/>
  <cols>
    <col min="2" max="2" width="36.85546875" customWidth="1"/>
    <col min="3" max="6" width="22.28515625" style="2" customWidth="1"/>
    <col min="7" max="9" width="22.28515625" customWidth="1"/>
  </cols>
  <sheetData>
    <row r="1" spans="1:9" ht="15.75" thickBot="1" x14ac:dyDescent="0.3">
      <c r="A1" s="27" t="s">
        <v>46</v>
      </c>
      <c r="B1" s="145" t="s">
        <v>38</v>
      </c>
      <c r="C1" s="146"/>
      <c r="D1" s="146"/>
      <c r="E1" s="146"/>
      <c r="F1" s="146"/>
      <c r="G1" s="146"/>
      <c r="H1" s="146"/>
      <c r="I1" s="146"/>
    </row>
    <row r="2" spans="1:9" x14ac:dyDescent="0.25">
      <c r="A2" s="46" t="s">
        <v>1</v>
      </c>
      <c r="B2" s="3" t="s">
        <v>10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</row>
    <row r="3" spans="1:9" ht="97.5" customHeight="1" x14ac:dyDescent="0.25">
      <c r="A3" s="47">
        <v>1</v>
      </c>
      <c r="B3" s="10"/>
      <c r="C3" s="1"/>
      <c r="D3" s="1"/>
      <c r="E3" s="1"/>
      <c r="F3" s="1"/>
      <c r="G3" s="1"/>
      <c r="H3" s="1"/>
      <c r="I3" s="1"/>
    </row>
    <row r="4" spans="1:9" ht="97.5" customHeight="1" x14ac:dyDescent="0.25">
      <c r="A4" s="47">
        <v>2</v>
      </c>
      <c r="B4" s="10"/>
      <c r="C4" s="1"/>
      <c r="D4" s="1"/>
      <c r="E4" s="1"/>
      <c r="F4" s="1"/>
      <c r="G4" s="1"/>
      <c r="H4" s="1"/>
      <c r="I4" s="1"/>
    </row>
    <row r="5" spans="1:9" ht="97.5" customHeight="1" x14ac:dyDescent="0.25">
      <c r="A5" s="47">
        <v>3</v>
      </c>
      <c r="B5" s="10"/>
      <c r="C5" s="1"/>
      <c r="D5" s="1"/>
      <c r="E5" s="1"/>
      <c r="F5" s="1"/>
      <c r="G5" s="1"/>
      <c r="H5" s="1"/>
      <c r="I5" s="1"/>
    </row>
    <row r="6" spans="1:9" ht="97.5" customHeight="1" x14ac:dyDescent="0.25">
      <c r="A6" s="47">
        <v>4</v>
      </c>
      <c r="B6" s="10"/>
      <c r="C6" s="1"/>
      <c r="D6" s="1"/>
      <c r="E6" s="1"/>
      <c r="F6" s="1"/>
      <c r="G6" s="1"/>
      <c r="H6" s="1"/>
      <c r="I6" s="1"/>
    </row>
    <row r="7" spans="1:9" ht="97.5" customHeight="1" x14ac:dyDescent="0.25">
      <c r="A7" s="47">
        <v>5</v>
      </c>
      <c r="B7" s="10"/>
      <c r="C7" s="1"/>
      <c r="D7" s="1"/>
      <c r="E7" s="1"/>
      <c r="F7" s="1"/>
      <c r="G7" s="1"/>
      <c r="H7" s="1"/>
      <c r="I7" s="1"/>
    </row>
    <row r="8" spans="1:9" ht="97.5" customHeight="1" x14ac:dyDescent="0.25">
      <c r="A8" s="45">
        <v>6</v>
      </c>
      <c r="B8" s="10"/>
      <c r="C8" s="1"/>
      <c r="D8" s="1"/>
      <c r="E8" s="1"/>
      <c r="F8" s="1"/>
      <c r="G8" s="1"/>
      <c r="H8" s="1"/>
      <c r="I8" s="1"/>
    </row>
    <row r="9" spans="1:9" ht="97.5" customHeight="1" x14ac:dyDescent="0.25">
      <c r="A9" s="47">
        <v>7</v>
      </c>
      <c r="B9" s="10"/>
      <c r="C9" s="1"/>
      <c r="D9" s="1"/>
      <c r="E9" s="1"/>
      <c r="F9" s="1"/>
      <c r="G9" s="1"/>
      <c r="H9" s="1"/>
      <c r="I9" s="1"/>
    </row>
    <row r="10" spans="1:9" ht="97.5" customHeight="1" x14ac:dyDescent="0.25">
      <c r="A10" s="47">
        <v>8</v>
      </c>
      <c r="B10" s="10"/>
      <c r="C10" s="1"/>
      <c r="D10" s="1"/>
      <c r="E10" s="1"/>
      <c r="F10" s="1"/>
      <c r="G10" s="1"/>
      <c r="H10" s="1"/>
      <c r="I10" s="1"/>
    </row>
    <row r="11" spans="1:9" ht="97.5" customHeight="1" x14ac:dyDescent="0.25">
      <c r="A11" s="47">
        <v>9</v>
      </c>
      <c r="B11" s="10"/>
      <c r="C11" s="1"/>
      <c r="D11" s="1"/>
      <c r="E11" s="1"/>
      <c r="F11" s="1"/>
      <c r="G11" s="1"/>
      <c r="H11" s="1"/>
      <c r="I11" s="1"/>
    </row>
    <row r="12" spans="1:9" ht="97.5" customHeight="1" x14ac:dyDescent="0.25">
      <c r="A12" s="47">
        <v>10</v>
      </c>
      <c r="B12" s="10"/>
      <c r="C12" s="1"/>
      <c r="D12" s="1"/>
      <c r="E12" s="1"/>
      <c r="F12" s="1"/>
      <c r="G12" s="1"/>
      <c r="H12" s="1"/>
      <c r="I12" s="1"/>
    </row>
    <row r="14" spans="1:9" ht="16.5" thickBot="1" x14ac:dyDescent="0.3">
      <c r="A14" s="11"/>
      <c r="B14" s="139" t="s">
        <v>15</v>
      </c>
      <c r="C14" s="140"/>
      <c r="D14" s="140"/>
      <c r="E14" s="140"/>
      <c r="F14" s="141"/>
    </row>
    <row r="15" spans="1:9" ht="15.75" x14ac:dyDescent="0.25">
      <c r="A15" s="48" t="s">
        <v>1</v>
      </c>
      <c r="B15" s="147" t="s">
        <v>43</v>
      </c>
      <c r="C15" s="148"/>
      <c r="D15" s="142" t="s">
        <v>45</v>
      </c>
      <c r="E15" s="143"/>
      <c r="F15" s="144"/>
    </row>
    <row r="16" spans="1:9" ht="90" customHeight="1" x14ac:dyDescent="0.25">
      <c r="A16" s="47">
        <v>1</v>
      </c>
      <c r="B16" s="130" t="s">
        <v>44</v>
      </c>
      <c r="C16" s="131"/>
      <c r="D16" s="136"/>
      <c r="E16" s="137"/>
      <c r="F16" s="138"/>
    </row>
    <row r="17" spans="1:6" ht="90" customHeight="1" x14ac:dyDescent="0.25">
      <c r="A17" s="47">
        <v>2</v>
      </c>
      <c r="B17" s="130"/>
      <c r="C17" s="131"/>
      <c r="D17" s="136"/>
      <c r="E17" s="137"/>
      <c r="F17" s="138"/>
    </row>
    <row r="18" spans="1:6" ht="90" customHeight="1" x14ac:dyDescent="0.25">
      <c r="A18" s="47">
        <v>3</v>
      </c>
      <c r="B18" s="130"/>
      <c r="C18" s="131"/>
      <c r="D18" s="136"/>
      <c r="E18" s="137"/>
      <c r="F18" s="138"/>
    </row>
    <row r="19" spans="1:6" ht="90" customHeight="1" x14ac:dyDescent="0.25">
      <c r="A19" s="47">
        <v>4</v>
      </c>
      <c r="B19" s="130"/>
      <c r="C19" s="131"/>
      <c r="D19" s="136"/>
      <c r="E19" s="137"/>
      <c r="F19" s="138"/>
    </row>
    <row r="20" spans="1:6" ht="90" customHeight="1" x14ac:dyDescent="0.25">
      <c r="A20" s="47">
        <v>5</v>
      </c>
      <c r="B20" s="130"/>
      <c r="C20" s="131"/>
      <c r="D20" s="136"/>
      <c r="E20" s="137"/>
      <c r="F20" s="138"/>
    </row>
    <row r="21" spans="1:6" ht="90" customHeight="1" x14ac:dyDescent="0.25">
      <c r="A21" s="47">
        <v>6</v>
      </c>
      <c r="B21" s="130"/>
      <c r="C21" s="131"/>
      <c r="D21" s="136"/>
      <c r="E21" s="137"/>
      <c r="F21" s="138"/>
    </row>
    <row r="22" spans="1:6" ht="15.75" x14ac:dyDescent="0.25">
      <c r="A22" s="47">
        <v>7</v>
      </c>
      <c r="B22" s="130"/>
      <c r="C22" s="131"/>
      <c r="D22" s="136"/>
      <c r="E22" s="137"/>
      <c r="F22" s="138"/>
    </row>
    <row r="23" spans="1:6" ht="15.75" x14ac:dyDescent="0.25">
      <c r="A23" s="47">
        <v>8</v>
      </c>
      <c r="B23" s="130"/>
      <c r="C23" s="131"/>
      <c r="D23" s="136"/>
      <c r="E23" s="137"/>
      <c r="F23" s="138"/>
    </row>
    <row r="24" spans="1:6" ht="15.75" x14ac:dyDescent="0.25">
      <c r="A24" s="47">
        <v>9</v>
      </c>
      <c r="B24" s="130"/>
      <c r="C24" s="131"/>
      <c r="D24" s="136"/>
      <c r="E24" s="137"/>
      <c r="F24" s="138"/>
    </row>
    <row r="25" spans="1:6" ht="15.75" x14ac:dyDescent="0.25">
      <c r="A25" s="47">
        <v>10</v>
      </c>
      <c r="B25" s="130"/>
      <c r="C25" s="131"/>
      <c r="D25" s="136"/>
      <c r="E25" s="137"/>
      <c r="F25" s="138"/>
    </row>
  </sheetData>
  <mergeCells count="24">
    <mergeCell ref="B1:I1"/>
    <mergeCell ref="B15:C15"/>
    <mergeCell ref="B16:C16"/>
    <mergeCell ref="B17:C17"/>
    <mergeCell ref="B18:C18"/>
    <mergeCell ref="B19:C19"/>
    <mergeCell ref="B20:C20"/>
    <mergeCell ref="B14:F14"/>
    <mergeCell ref="D15:F15"/>
    <mergeCell ref="D16:F16"/>
    <mergeCell ref="D17:F17"/>
    <mergeCell ref="D18:F18"/>
    <mergeCell ref="D19:F19"/>
    <mergeCell ref="D20:F20"/>
    <mergeCell ref="B24:C24"/>
    <mergeCell ref="D24:F24"/>
    <mergeCell ref="B25:C25"/>
    <mergeCell ref="D25:F25"/>
    <mergeCell ref="B21:C21"/>
    <mergeCell ref="D21:F21"/>
    <mergeCell ref="B22:C22"/>
    <mergeCell ref="D22:F22"/>
    <mergeCell ref="B23:C23"/>
    <mergeCell ref="D23:F23"/>
  </mergeCells>
  <hyperlinks>
    <hyperlink ref="A1" location="'M O'!A21" display="M O" xr:uid="{35EA0DCF-BBE8-4014-91C5-35AC7853A699}"/>
    <hyperlink ref="A3" location="'M O'!A22" display="'M O'!A22" xr:uid="{D88F2D4F-737C-413A-B65F-255B0366446F}"/>
    <hyperlink ref="A4" location="'M O'!A23" display="'M O'!A23" xr:uid="{C424B142-1F7D-4DD5-8CE7-9D90699C656F}"/>
    <hyperlink ref="A5" location="'M O'!A24" display="'M O'!A24" xr:uid="{D12B3DDE-4906-4C5A-A92C-2C1B833C6A7D}"/>
    <hyperlink ref="A6" location="'M O'!A25" display="'M O'!A25" xr:uid="{4017EC53-F653-4872-953E-8C044BF05F91}"/>
    <hyperlink ref="A7" location="'M O'!A26" display="'M O'!A26" xr:uid="{501293FB-9B7F-4DC9-8DE4-C99E3ABF27EF}"/>
    <hyperlink ref="A16" location="'M O'!A30" display="'M O'!A30" xr:uid="{218FF368-1983-4B6D-A1B5-C8DACD846291}"/>
    <hyperlink ref="A17" location="'M O'!A31" display="'M O'!A31" xr:uid="{0B9A4D48-3FCA-4D79-ACD9-3E2E99BE962A}"/>
    <hyperlink ref="A18" location="'M O'!A32" display="'M O'!A32" xr:uid="{C9758E40-C835-483E-B2FF-4704513254AA}"/>
    <hyperlink ref="A19" location="'M O'!A33" display="'M O'!A33" xr:uid="{A8AC0B4C-C4F5-4C37-BB0B-ABD05D6FE64E}"/>
    <hyperlink ref="A20" location="'M O'!A34" display="'M O'!A34" xr:uid="{CF8DC020-3AC1-47DC-9C7E-DF3E06679D01}"/>
    <hyperlink ref="A8" location="'M O'!A27" display="'M O'!A27" xr:uid="{55084F01-3A17-4F42-A690-6232B5366228}"/>
    <hyperlink ref="A9" location="'M O'!A26" display="'M O'!A26" xr:uid="{FEBEF009-9A27-4E90-BB52-FF67F28FDD54}"/>
    <hyperlink ref="A10" location="'M O'!A26" display="'M O'!A26" xr:uid="{DAB3E09D-0EAC-4334-A8A9-7024DE7B3D8B}"/>
    <hyperlink ref="A11" location="'M O'!A26" display="'M O'!A26" xr:uid="{0D6BCB18-F0CD-491C-A6B7-5E55B3C72E07}"/>
    <hyperlink ref="A12" location="'M O'!A26" display="'M O'!A26" xr:uid="{D186C8C5-E148-43A7-B2A9-FCDA049F0A8D}"/>
    <hyperlink ref="A21" location="'M O'!A34" display="'M O'!A34" xr:uid="{1914D597-F78B-4202-AA00-23DF53C91A83}"/>
    <hyperlink ref="A22" location="'M O'!A34" display="'M O'!A34" xr:uid="{0A784A14-ECB3-4822-839D-7409E85C8835}"/>
    <hyperlink ref="A23" location="'M O'!A34" display="'M O'!A34" xr:uid="{F8B8D06B-4AC2-4073-BCB5-3C2C7B41429B}"/>
    <hyperlink ref="A24" location="'M O'!A34" display="'M O'!A34" xr:uid="{48AB4138-009F-4676-84E3-176FBED4A9A3}"/>
    <hyperlink ref="A25" location="'M O'!A34" display="'M O'!A34" xr:uid="{63CBC671-28E2-445A-9F77-AA8D26F25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COT</vt:lpstr>
      <vt:lpstr>M O</vt:lpstr>
      <vt:lpstr>DESPIECE</vt:lpstr>
      <vt:lpstr>COT!Área_de_impresión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Miguel Angel</cp:lastModifiedBy>
  <dcterms:created xsi:type="dcterms:W3CDTF">2025-09-27T16:39:34Z</dcterms:created>
  <dcterms:modified xsi:type="dcterms:W3CDTF">2026-05-25T16:47:48Z</dcterms:modified>
</cp:coreProperties>
</file>